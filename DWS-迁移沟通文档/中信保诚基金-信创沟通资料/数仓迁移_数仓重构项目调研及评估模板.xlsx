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调研概要" sheetId="2" r:id="rId5"/>
    <sheet name="元数据调研（GP）" sheetId="3" r:id="rId6"/>
    <sheet name="元数据调研（Oracle）" sheetId="4" r:id="rId7"/>
    <sheet name="工作量预估" sheetId="5" r:id="rId8"/>
    <sheet name="工作量预估（快捷计算）" sheetId="6" r:id="rId9"/>
    <sheet name="评估基础数据（快捷计算）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<sst xmlns="http://schemas.openxmlformats.org/spreadsheetml/2006/main" count="2" uniqueCount="2">
  <si>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</si>
  <si>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b/>
        <sz val="9.75"/>
        <color rgb="FFF54A45"/>
        <rFont val="Calibri"/>
        <family val="2"/>
      </rPr>
      <t xml:space="preserve">DWS目前不支持plpythonu、plperl、plperlu语言。
</t>
    </r>
    <r>
      <rPr>
        <sz val="9.75"/>
        <color rgb="FF1F2329"/>
        <rFont val="Calibri"/>
        <family val="2"/>
      </rPr>
      <t xml:space="preserve">评估时可假设每人每天可以改写1-2个成plpgsql。
</t>
    </r>
    <r>
      <rPr>
        <sz val="9.75"/>
        <color rgb="FF000000"/>
        <rFont val="Calibri"/>
        <family val="2"/>
      </rPr>
      <t>非PG系数据库函数可假设为每人每天10个。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</si>
</sst>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164" formatCode="General"/>
    <numFmt numFmtId="165" formatCode="General"/>
    <numFmt numFmtId="166" formatCode="General"/>
    <numFmt numFmtId="167" formatCode="General"/>
    <numFmt numFmtId="168" formatCode="General"/>
    <numFmt numFmtId="169" formatCode="General"/>
    <numFmt numFmtId="170" formatCode="General"/>
    <numFmt numFmtId="171" formatCode="General"/>
    <numFmt numFmtId="172" formatCode="General"/>
    <numFmt numFmtId="173" formatCode="General"/>
    <numFmt numFmtId="174" formatCode="General"/>
    <numFmt numFmtId="175" formatCode="General"/>
    <numFmt numFmtId="176" formatCode="General"/>
    <numFmt numFmtId="177" formatCode="General"/>
    <numFmt numFmtId="178" formatCode="General"/>
    <numFmt numFmtId="179" formatCode="General"/>
    <numFmt numFmtId="180" formatCode="General"/>
    <numFmt numFmtId="181" formatCode="#,##0"/>
    <numFmt numFmtId="182" formatCode="#,##0"/>
    <numFmt numFmtId="183" formatCode="#,##0"/>
    <numFmt numFmtId="184" formatCode="#,##0"/>
  </numFmts>
  <fonts count="16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D83931"/>
      <name val="Calibri"/>
      <family val="2"/>
      <scheme val="minor"/>
    </font>
    <font>
      <sz val="9.75"/>
      <color rgb="FFD83931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sz val="9.75"/>
      <color rgb="FFD9F3FD"/>
      <name val="Calibri"/>
      <family val="2"/>
      <scheme val="minor"/>
    </font>
    <font>
      <b val="true"/>
      <sz val="9.75"/>
      <color rgb="FF245BDB"/>
      <name val="Calibri"/>
      <family val="2"/>
      <scheme val="minor"/>
    </font>
    <font>
      <sz val="9.75"/>
      <color rgb="FFFED4A4"/>
      <name val="Calibri"/>
      <family val="2"/>
      <scheme val="minor"/>
    </font>
    <font>
      <b val="true"/>
      <sz val="9.75"/>
      <color rgb="FF04B49C"/>
      <name val="Calibri"/>
      <family val="2"/>
      <scheme val="minor"/>
    </font>
    <font>
      <b val="true"/>
      <sz val="9.75"/>
      <color rgb="FF049FD7"/>
      <name val="Calibri"/>
      <family val="2"/>
      <scheme val="minor"/>
    </font>
    <font>
      <b val="true"/>
      <sz val="9.75"/>
      <color rgb="FF4E83FD"/>
      <name val="Calibri"/>
      <family val="2"/>
      <scheme val="minor"/>
    </font>
    <font>
      <sz val="9.75"/>
      <color rgb="FFF54A45"/>
      <name val="Calibri"/>
      <family val="2"/>
      <scheme val="minor"/>
    </font>
  </fonts>
  <fills count="2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D9F3FD"/>
        <bgColor/>
      </patternFill>
    </fill>
    <fill>
      <patternFill patternType="solid">
        <fgColor rgb="FFFAF1D1"/>
        <bgColor/>
      </patternFill>
    </fill>
    <fill>
      <patternFill patternType="solid">
        <fgColor rgb="FFD9F3FD"/>
        <bgColor/>
      </patternFill>
    </fill>
    <fill>
      <patternFill patternType="solid">
        <fgColor rgb="FFDEE0E3"/>
        <bgColor/>
      </patternFill>
    </fill>
    <fill>
      <patternFill patternType="solid">
        <fgColor rgb="FFFED4A4"/>
        <bgColor/>
      </patternFill>
    </fill>
    <fill>
      <patternFill patternType="solid">
        <fgColor rgb="FFDEE0E3"/>
        <bgColor/>
      </patternFill>
    </fill>
    <fill>
      <patternFill patternType="solid">
        <fgColor rgb="FFD9F3FD"/>
        <bgColor/>
      </patternFill>
    </fill>
    <fill>
      <patternFill patternType="solid">
        <fgColor rgb="FFFAF1D1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EEF6C6"/>
        <bgColor/>
      </patternFill>
    </fill>
    <fill>
      <patternFill patternType="solid">
        <fgColor rgb="FFDEE0E3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</fills>
  <borders count="8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true" applyFont="true" applyNumberFormat="false" applyProtection="false" borderId="3" fillId="2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vertical="center" wrapText="true"/>
    </xf>
    <xf applyAlignment="true" applyBorder="false" applyFill="true" applyFont="true" applyNumberFormat="false" applyProtection="false" borderId="6" fillId="3" fontId="4" numFmtId="0" xfId="0">
      <alignment vertical="center" wrapText="true"/>
    </xf>
    <xf applyAlignment="true" applyBorder="false" applyFill="false" applyFont="true" applyNumberFormat="false" applyProtection="false" borderId="7" fillId="0" fontId="4" numFmtId="0" xfId="0">
      <alignment horizontal="left" vertical="center" wrapText="true"/>
    </xf>
    <xf applyAlignment="true" applyBorder="false" applyFill="true" applyFont="true" applyNumberFormat="false" applyProtection="false" borderId="8" fillId="4" fontId="4" numFmtId="0" xfId="0">
      <alignment horizontal="left" vertical="center" wrapText="true"/>
    </xf>
    <xf applyAlignment="true" applyBorder="false" applyFill="false" applyFont="true" applyNumberFormat="false" applyProtection="false" borderId="9" fillId="0" fontId="5" numFmtId="0" xfId="0">
      <alignment horizontal="left" vertical="center" wrapText="true"/>
    </xf>
    <xf applyAlignment="true" applyBorder="false" applyFill="true" applyFont="true" applyNumberFormat="false" applyProtection="false" borderId="10" fillId="5" fontId="6" numFmtId="0" xfId="0">
      <alignment horizontal="left" vertical="center" wrapText="true"/>
    </xf>
    <xf applyAlignment="true" applyBorder="false" applyFill="false" applyFont="true" applyNumberFormat="false" applyProtection="false" borderId="11" fillId="0" fontId="7" numFmtId="0" xfId="0">
      <alignment horizontal="left" vertical="center" wrapText="true"/>
    </xf>
    <xf applyAlignment="true" applyBorder="false" applyFill="false" applyFont="true" applyNumberFormat="false" applyProtection="false" borderId="12" fillId="0" fontId="4" numFmtId="0" xfId="0">
      <alignment vertical="center" wrapText="true"/>
    </xf>
    <xf applyAlignment="true" applyBorder="false" applyFill="false" applyFont="true" applyNumberFormat="false" applyProtection="false" borderId="13" fillId="0" fontId="4" numFmtId="0" xfId="0">
      <alignment vertical="center" wrapText="true"/>
    </xf>
    <xf applyAlignment="true" applyBorder="false" applyFill="false" applyFont="true" applyNumberFormat="false" applyProtection="false" borderId="14" fillId="0" fontId="4" numFmtId="0" xfId="0">
      <alignment horizontal="left" vertical="center" wrapText="true"/>
    </xf>
    <xf applyAlignment="true" applyBorder="false" applyFill="false" applyFont="true" applyNumberFormat="false" applyProtection="false" borderId="15" fillId="0" fontId="4" numFmtId="0" xfId="0">
      <alignment vertical="center" wrapText="true"/>
    </xf>
    <xf applyAlignment="true" applyBorder="false" applyFill="false" applyFont="true" applyNumberFormat="false" applyProtection="false" borderId="16" fillId="0" fontId="8" numFmtId="0" xfId="0">
      <alignment vertical="center" wrapText="true"/>
    </xf>
    <xf applyAlignment="true" applyBorder="false" applyFill="true" applyFont="true" applyNumberFormat="false" applyProtection="false" borderId="17" fillId="6" fontId="4" numFmtId="0" xfId="0">
      <alignment horizontal="left" vertical="center" wrapText="true"/>
    </xf>
    <xf applyAlignment="true" applyBorder="false" applyFill="true" applyFont="true" applyNumberFormat="false" applyProtection="false" borderId="18" fillId="7" fontId="4" numFmtId="0" xfId="0">
      <alignment vertical="center" wrapText="true"/>
    </xf>
    <xf applyAlignment="true" applyBorder="false" applyFill="false" applyFont="true" applyNumberFormat="false" applyProtection="false" borderId="19" fillId="0" fontId="2" numFmtId="0" xfId="0">
      <alignment horizontal="center" vertical="center"/>
    </xf>
    <xf applyAlignment="true" applyBorder="false" applyFill="false" applyFont="true" applyNumberFormat="false" applyProtection="false" borderId="20" fillId="0" fontId="2" numFmtId="0" xfId="0">
      <alignment horizontal="center" vertical="center"/>
    </xf>
    <xf applyAlignment="true" applyBorder="false" applyFill="false" applyFont="true" applyNumberFormat="false" applyProtection="false" borderId="21" fillId="0" fontId="2" numFmtId="0" xfId="0">
      <alignment vertical="center"/>
    </xf>
    <xf applyAlignment="true" applyBorder="false" applyFill="false" applyFont="true" applyNumberFormat="false" applyProtection="false" borderId="22" fillId="0" fontId="2" numFmtId="0" xfId="0">
      <alignment vertical="center"/>
    </xf>
    <xf applyAlignment="true" applyBorder="false" applyFill="false" applyFont="true" applyNumberFormat="false" applyProtection="false" borderId="23" fillId="0" fontId="1" numFmtId="0" xfId="0">
      <alignment horizontal="center" vertical="center"/>
    </xf>
    <xf applyAlignment="true" applyBorder="false" applyFill="false" applyFont="true" applyNumberFormat="false" applyProtection="false" borderId="24" fillId="0" fontId="1" numFmtId="0" xfId="0">
      <alignment vertical="center"/>
    </xf>
    <xf applyAlignment="true" applyBorder="false" applyFill="false" applyFont="true" applyNumberFormat="false" applyProtection="false" borderId="25" fillId="0" fontId="1" numFmtId="0" xfId="0">
      <alignment vertical="center"/>
    </xf>
    <xf applyAlignment="false" applyBorder="false" applyFill="false" applyFont="false" applyNumberFormat="false" applyProtection="false" borderId="26" fillId="0" fontId="0" numFmtId="0" xfId="0">
      <alignment/>
    </xf>
    <xf applyAlignment="true" applyBorder="false" applyFill="false" applyFont="true" applyNumberFormat="false" applyProtection="false" borderId="27" fillId="0" fontId="2" numFmtId="0" xfId="0">
      <alignment horizontal="center" vertical="center"/>
    </xf>
    <xf applyAlignment="true" applyBorder="false" applyFill="false" applyFont="true" applyNumberFormat="false" applyProtection="false" borderId="28" fillId="0" fontId="2" numFmtId="0" xfId="0">
      <alignment vertical="center"/>
    </xf>
    <xf applyAlignment="true" applyBorder="false" applyFill="false" applyFont="true" applyNumberFormat="false" applyProtection="false" borderId="29" fillId="0" fontId="2" numFmtId="0" xfId="0">
      <alignment vertical="center"/>
    </xf>
    <xf applyAlignment="true" applyBorder="false" applyFill="false" applyFont="true" applyNumberFormat="false" applyProtection="false" borderId="30" fillId="0" fontId="1" numFmtId="0" xfId="0">
      <alignment horizontal="center" vertical="center"/>
    </xf>
    <xf applyAlignment="true" applyBorder="false" applyFill="false" applyFont="true" applyNumberFormat="false" applyProtection="false" borderId="31" fillId="0" fontId="2" numFmtId="0" xfId="0">
      <alignment horizontal="center" vertical="center"/>
    </xf>
    <xf applyAlignment="true" applyBorder="false" applyFill="false" applyFont="true" applyNumberFormat="false" applyProtection="false" borderId="32" fillId="0" fontId="2" numFmtId="0" xfId="0">
      <alignment vertical="center"/>
    </xf>
    <xf applyAlignment="true" applyBorder="false" applyFill="false" applyFont="true" applyNumberFormat="false" applyProtection="false" borderId="33" fillId="0" fontId="2" numFmtId="0" xfId="0">
      <alignment vertical="center"/>
    </xf>
    <xf applyAlignment="true" applyBorder="false" applyFill="false" applyFont="true" applyNumberFormat="false" applyProtection="false" borderId="34" fillId="0" fontId="4" numFmtId="0" xfId="0">
      <alignment horizontal="center" vertical="center" wrapText="true"/>
    </xf>
    <xf applyAlignment="true" applyBorder="false" applyFill="true" applyFont="true" applyNumberFormat="true" applyProtection="false" borderId="35" fillId="8" fontId="7" numFmtId="164" xfId="0">
      <alignment vertical="center" wrapText="true"/>
    </xf>
    <xf applyAlignment="true" applyBorder="false" applyFill="true" applyFont="true" applyNumberFormat="true" applyProtection="false" borderId="36" fillId="9" fontId="9" numFmtId="165" xfId="0">
      <alignment vertical="center" wrapText="true"/>
    </xf>
    <xf applyAlignment="true" applyBorder="false" applyFill="false" applyFont="true" applyNumberFormat="true" applyProtection="false" borderId="37" fillId="0" fontId="4" numFmtId="166" xfId="0">
      <alignment vertical="center" wrapText="true"/>
    </xf>
    <xf applyAlignment="true" applyBorder="false" applyFill="false" applyFont="true" applyNumberFormat="true" applyProtection="false" borderId="38" fillId="0" fontId="7" numFmtId="167" xfId="0">
      <alignment vertical="center" wrapText="true"/>
    </xf>
    <xf applyAlignment="true" applyBorder="false" applyFill="true" applyFont="true" applyNumberFormat="true" applyProtection="false" borderId="39" fillId="10" fontId="4" numFmtId="168" xfId="0">
      <alignment vertical="center" wrapText="true"/>
    </xf>
    <xf applyAlignment="true" applyBorder="false" applyFill="false" applyFont="true" applyNumberFormat="true" applyProtection="false" borderId="40" fillId="0" fontId="4" numFmtId="169" xfId="0">
      <alignment vertical="center" wrapText="true"/>
    </xf>
    <xf applyAlignment="true" applyBorder="false" applyFill="true" applyFont="true" applyNumberFormat="true" applyProtection="false" borderId="41" fillId="11" fontId="9" numFmtId="170" xfId="0">
      <alignment vertical="center" wrapText="true"/>
    </xf>
    <xf applyAlignment="true" applyBorder="false" applyFill="false" applyFont="true" applyNumberFormat="false" applyProtection="false" borderId="42" fillId="0" fontId="10" numFmtId="0" xfId="0">
      <alignment horizontal="left" vertical="center"/>
    </xf>
    <xf applyAlignment="true" applyBorder="false" applyFill="true" applyFont="true" applyNumberFormat="true" applyProtection="false" borderId="43" fillId="12" fontId="7" numFmtId="171" xfId="0">
      <alignment vertical="center" wrapText="true"/>
    </xf>
    <xf applyAlignment="true" applyBorder="false" applyFill="true" applyFont="true" applyNumberFormat="true" applyProtection="false" borderId="44" fillId="13" fontId="11" numFmtId="172" xfId="0">
      <alignment vertical="center" wrapText="true"/>
    </xf>
    <xf applyAlignment="true" applyBorder="false" applyFill="true" applyFont="true" applyNumberFormat="false" applyProtection="false" borderId="45" fillId="14" fontId="7" numFmtId="0" xfId="0">
      <alignment horizontal="center" vertical="center" wrapText="true"/>
    </xf>
    <xf applyAlignment="true" applyBorder="false" applyFill="false" applyFont="true" applyNumberFormat="true" applyProtection="false" borderId="46" fillId="0" fontId="4" numFmtId="173" xfId="0">
      <alignment vertical="center" wrapText="true"/>
    </xf>
    <xf applyAlignment="true" applyBorder="false" applyFill="false" applyFont="true" applyNumberFormat="false" applyProtection="false" borderId="47" fillId="0" fontId="4" numFmtId="0" xfId="0">
      <alignment vertical="center"/>
    </xf>
    <xf applyAlignment="true" applyBorder="false" applyFill="true" applyFont="true" applyNumberFormat="true" applyProtection="false" borderId="48" fillId="15" fontId="9" numFmtId="174" xfId="0">
      <alignment vertical="center" wrapText="true"/>
    </xf>
    <xf applyAlignment="true" applyBorder="false" applyFill="true" applyFont="true" applyNumberFormat="true" applyProtection="false" borderId="49" fillId="16" fontId="3" numFmtId="175" xfId="0">
      <alignment vertical="center" wrapText="true"/>
    </xf>
    <xf applyAlignment="true" applyBorder="false" applyFill="false" applyFont="true" applyNumberFormat="true" applyProtection="false" borderId="50" fillId="0" fontId="3" numFmtId="176" xfId="0">
      <alignment vertical="center" wrapText="true"/>
    </xf>
    <xf applyAlignment="true" applyBorder="false" applyFill="true" applyFont="true" applyNumberFormat="true" applyProtection="false" borderId="51" fillId="17" fontId="5" numFmtId="177" xfId="0">
      <alignment horizontal="center" vertical="center" wrapText="true"/>
    </xf>
    <xf applyAlignment="true" applyBorder="false" applyFill="true" applyFont="true" applyNumberFormat="true" applyProtection="false" borderId="52" fillId="18" fontId="12" numFmtId="178" xfId="0">
      <alignment horizontal="center" vertical="center" wrapText="true"/>
    </xf>
    <xf applyAlignment="true" applyBorder="false" applyFill="true" applyFont="true" applyNumberFormat="true" applyProtection="false" borderId="53" fillId="19" fontId="13" numFmtId="179" xfId="0">
      <alignment horizontal="center" vertical="center" wrapText="true"/>
    </xf>
    <xf applyAlignment="true" applyBorder="false" applyFill="false" applyFont="true" applyNumberFormat="false" applyProtection="false" borderId="54" fillId="0" fontId="4" numFmtId="0" xfId="0">
      <alignment vertical="center"/>
    </xf>
    <xf applyAlignment="true" applyBorder="false" applyFill="false" applyFont="true" applyNumberFormat="true" applyProtection="false" borderId="55" fillId="0" fontId="4" numFmtId="180" xfId="0">
      <alignment horizontal="right" vertical="center" wrapText="true"/>
    </xf>
    <xf applyAlignment="true" applyBorder="false" applyFill="true" applyFont="true" applyNumberFormat="false" applyProtection="false" borderId="56" fillId="20" fontId="4" numFmtId="0" xfId="0">
      <alignment vertical="center"/>
    </xf>
    <xf applyAlignment="true" applyBorder="false" applyFill="true" applyFont="true" applyNumberFormat="false" applyProtection="false" borderId="57" fillId="21" fontId="4" numFmtId="0" xfId="0">
      <alignment horizontal="center" vertical="center"/>
    </xf>
    <xf applyAlignment="true" applyBorder="false" applyFill="false" applyFont="true" applyNumberFormat="false" applyProtection="false" borderId="58" fillId="0" fontId="4" numFmtId="0" xfId="0">
      <alignment horizontal="center" vertical="center"/>
    </xf>
    <xf applyAlignment="true" applyBorder="false" applyFill="true" applyFont="true" applyNumberFormat="false" applyProtection="false" borderId="59" fillId="22" fontId="4" numFmtId="0" xfId="0">
      <alignment vertical="center"/>
    </xf>
    <xf applyAlignment="true" applyBorder="false" applyFill="false" applyFont="true" applyNumberFormat="false" applyProtection="false" borderId="60" fillId="0" fontId="3" numFmtId="0" xfId="0">
      <alignment horizontal="center" vertical="center"/>
    </xf>
    <xf applyAlignment="true" applyBorder="false" applyFill="false" applyFont="true" applyNumberFormat="false" applyProtection="false" borderId="61" fillId="0" fontId="3" numFmtId="0" xfId="0">
      <alignment horizontal="center" vertical="center"/>
    </xf>
    <xf applyAlignment="true" applyBorder="false" applyFill="false" applyFont="true" applyNumberFormat="false" applyProtection="false" borderId="62" fillId="0" fontId="3" numFmtId="0" xfId="0">
      <alignment horizontal="center" vertical="center"/>
    </xf>
    <xf applyAlignment="true" applyBorder="false" applyFill="false" applyFont="true" applyNumberFormat="false" applyProtection="false" borderId="63" fillId="0" fontId="3" numFmtId="0" xfId="0">
      <alignment horizontal="center" vertical="center"/>
    </xf>
    <xf applyAlignment="true" applyBorder="false" applyFill="false" applyFont="true" applyNumberFormat="false" applyProtection="false" borderId="64" fillId="0" fontId="3" numFmtId="0" xfId="0">
      <alignment horizontal="center" vertical="center"/>
    </xf>
    <xf applyAlignment="true" applyBorder="false" applyFill="true" applyFont="true" applyNumberFormat="false" applyProtection="false" borderId="65" fillId="23" fontId="3" numFmtId="0" xfId="0">
      <alignment vertical="center"/>
    </xf>
    <xf applyAlignment="true" applyBorder="false" applyFill="false" applyFont="true" applyNumberFormat="false" applyProtection="false" borderId="66" fillId="0" fontId="14" numFmtId="0" xfId="0">
      <alignment vertical="center"/>
    </xf>
    <xf applyAlignment="true" applyBorder="false" applyFill="false" applyFont="true" applyNumberFormat="true" applyProtection="false" borderId="67" fillId="0" fontId="4" numFmtId="181" xfId="0">
      <alignment vertical="center"/>
    </xf>
    <xf applyAlignment="true" applyBorder="false" applyFill="false" applyFont="true" applyNumberFormat="true" applyProtection="false" borderId="68" fillId="0" fontId="4" numFmtId="182" xfId="0">
      <alignment vertical="center"/>
    </xf>
    <xf applyAlignment="true" applyBorder="false" applyFill="false" applyFont="true" applyNumberFormat="false" applyProtection="false" borderId="69" fillId="0" fontId="4" numFmtId="0" xfId="0">
      <alignment horizontal="center" vertical="center"/>
    </xf>
    <xf applyAlignment="true" applyBorder="false" applyFill="false" applyFont="true" applyNumberFormat="false" applyProtection="false" borderId="70" fillId="0" fontId="3" numFmtId="0" xfId="0">
      <alignment horizontal="center" vertical="center"/>
    </xf>
    <xf applyAlignment="true" applyBorder="false" applyFill="false" applyFont="true" applyNumberFormat="false" applyProtection="false" borderId="71" fillId="0" fontId="3" numFmtId="0" xfId="0">
      <alignment vertical="center"/>
    </xf>
    <xf applyAlignment="true" applyBorder="false" applyFill="false" applyFont="true" applyNumberFormat="true" applyProtection="false" borderId="72" fillId="0" fontId="4" numFmtId="183" xfId="0">
      <alignment vertical="center"/>
    </xf>
    <xf applyAlignment="true" applyBorder="false" applyFill="false" applyFont="true" applyNumberFormat="true" applyProtection="false" borderId="73" fillId="0" fontId="4" numFmtId="184" xfId="0">
      <alignment vertical="center"/>
    </xf>
    <xf applyAlignment="true" applyBorder="false" applyFill="false" applyFont="true" applyNumberFormat="false" applyProtection="false" borderId="74" fillId="0" fontId="4" numFmtId="0" xfId="0">
      <alignment horizontal="center" vertical="center"/>
    </xf>
    <xf applyAlignment="true" applyBorder="false" applyFill="true" applyFont="true" applyNumberFormat="false" applyProtection="false" borderId="75" fillId="24" fontId="3" numFmtId="0" xfId="0">
      <alignment vertical="center"/>
    </xf>
    <xf applyAlignment="true" applyBorder="false" applyFill="true" applyFont="true" applyNumberFormat="false" applyProtection="false" borderId="76" fillId="25" fontId="3" numFmtId="0" xfId="0">
      <alignment horizontal="center" vertical="center"/>
    </xf>
    <xf applyAlignment="true" applyBorder="false" applyFill="true" applyFont="true" applyNumberFormat="false" applyProtection="false" borderId="77" fillId="26" fontId="3" numFmtId="0" xfId="0">
      <alignment horizontal="right" vertical="center"/>
    </xf>
    <xf applyAlignment="true" applyBorder="false" applyFill="true" applyFont="true" applyNumberFormat="false" applyProtection="false" borderId="78" fillId="27" fontId="3" numFmtId="0" xfId="0">
      <alignment horizontal="right" vertical="center"/>
    </xf>
    <xf applyAlignment="true" applyBorder="false" applyFill="true" applyFont="true" applyNumberFormat="false" applyProtection="false" borderId="79" fillId="28" fontId="3" numFmtId="0" xfId="0">
      <alignment horizontal="center" vertical="center"/>
    </xf>
    <xf applyAlignment="true" applyBorder="false" applyFill="false" applyFont="true" applyNumberFormat="false" applyProtection="false" borderId="80" fillId="0" fontId="15" numFmtId="0" xfId="0">
      <alignment horizontal="center" vertical="center"/>
    </xf>
    <xf applyAlignment="true" applyBorder="false" applyFill="false" applyFont="true" applyNumberFormat="false" applyProtection="false" borderId="81" fillId="0" fontId="1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1.jpeg" Type="http://schemas.openxmlformats.org/officeDocument/2006/relationships/image"></Relationship><Relationship Id="rId2" Target="../media/image12.jpeg" Type="http://schemas.openxmlformats.org/officeDocument/2006/relationships/image"></Relationship><Relationship Id="rId3" Target="../media/image13.jpeg" Type="http://schemas.openxmlformats.org/officeDocument/2006/relationships/image"></Relationship><Relationship Id="rId4" Target="../media/image14.jpeg" Type="http://schemas.openxmlformats.org/officeDocument/2006/relationships/image"></Relationship><Relationship Id="rId5" Target="../media/image15.jpeg" Type="http://schemas.openxmlformats.org/officeDocument/2006/relationships/image"></Relationship><Relationship Id="rId6" Target="../media/image16.jpeg" Type="http://schemas.openxmlformats.org/officeDocument/2006/relationships/image"></Relationship><Relationship Id="rId7" Target="../media/image17.jpeg" Type="http://schemas.openxmlformats.org/officeDocument/2006/relationships/image"></Relationship><Relationship Id="rId8" Target="../media/image18.jpeg" Type="http://schemas.openxmlformats.org/officeDocument/2006/relationships/image"></Relationship><Relationship Id="rId9" Target="../media/image19.jpeg" Type="http://schemas.openxmlformats.org/officeDocument/2006/relationships/image"></Relationship><Relationship Id="rId10" Target="../media/image20.jpeg" Type="http://schemas.openxmlformats.org/officeDocument/2006/relationships/image"></Relationship><Relationship Id="rId11" Target="../media/image21.jpeg" Type="http://schemas.openxmlformats.org/officeDocument/2006/relationships/image"></Relationship><Relationship Id="rId12" Target="../media/image2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6</xdr:row>
      <xdr:rowOff>38100</xdr:rowOff>
    </xdr:from>
    <xdr:to>
      <xdr:col>4</xdr:col>
      <xdr:colOff>-38100</xdr:colOff>
      <xdr:row>7</xdr:row>
      <xdr:rowOff>-38100</xdr:rowOff>
    </xdr:to>
    <xdr:pic>
      <xdr:nvPicPr>
        <xdr:cNvPr id="2" name="Picture 2" descr="FbbsJ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</xdr:row>
      <xdr:rowOff>38100</xdr:rowOff>
    </xdr:from>
    <xdr:to>
      <xdr:col>4</xdr:col>
      <xdr:colOff>-38100</xdr:colOff>
      <xdr:row>2</xdr:row>
      <xdr:rowOff>-38100</xdr:rowOff>
    </xdr:to>
    <xdr:pic>
      <xdr:nvPicPr>
        <xdr:cNvPr id="3" name="Picture 3" descr="IRkbne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</xdr:row>
      <xdr:rowOff>38100</xdr:rowOff>
    </xdr:from>
    <xdr:to>
      <xdr:col>4</xdr:col>
      <xdr:colOff>-38100</xdr:colOff>
      <xdr:row>4</xdr:row>
      <xdr:rowOff>-38100</xdr:rowOff>
    </xdr:to>
    <xdr:pic>
      <xdr:nvPicPr>
        <xdr:cNvPr id="4" name="Picture 4" descr="bIvHhF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</xdr:row>
      <xdr:rowOff>38100</xdr:rowOff>
    </xdr:from>
    <xdr:to>
      <xdr:col>4</xdr:col>
      <xdr:colOff>-38100</xdr:colOff>
      <xdr:row>3</xdr:row>
      <xdr:rowOff>-38100</xdr:rowOff>
    </xdr:to>
    <xdr:pic>
      <xdr:nvPicPr>
        <xdr:cNvPr id="5" name="Picture 5" descr="gXGvNn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9</xdr:row>
      <xdr:rowOff>38100</xdr:rowOff>
    </xdr:from>
    <xdr:to>
      <xdr:col>4</xdr:col>
      <xdr:colOff>-38100</xdr:colOff>
      <xdr:row>10</xdr:row>
      <xdr:rowOff>-38100</xdr:rowOff>
    </xdr:to>
    <xdr:pic>
      <xdr:nvPicPr>
        <xdr:cNvPr id="6" name="Picture 6" descr="iETrXP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8</xdr:row>
      <xdr:rowOff>38100</xdr:rowOff>
    </xdr:from>
    <xdr:to>
      <xdr:col>4</xdr:col>
      <xdr:colOff>-38100</xdr:colOff>
      <xdr:row>9</xdr:row>
      <xdr:rowOff>-38100</xdr:rowOff>
    </xdr:to>
    <xdr:pic>
      <xdr:nvPicPr>
        <xdr:cNvPr id="7" name="Picture 7" descr="LZJGVP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10</xdr:row>
      <xdr:rowOff>38100</xdr:rowOff>
    </xdr:from>
    <xdr:to>
      <xdr:col>4</xdr:col>
      <xdr:colOff>-38100</xdr:colOff>
      <xdr:row>11</xdr:row>
      <xdr:rowOff>-38100</xdr:rowOff>
    </xdr:to>
    <xdr:pic>
      <xdr:nvPicPr>
        <xdr:cNvPr id="8" name="Picture 8" descr="kWKJwD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</xdr:row>
      <xdr:rowOff>38100</xdr:rowOff>
    </xdr:from>
    <xdr:to>
      <xdr:col>4</xdr:col>
      <xdr:colOff>-38100</xdr:colOff>
      <xdr:row>6</xdr:row>
      <xdr:rowOff>-38100</xdr:rowOff>
    </xdr:to>
    <xdr:pic>
      <xdr:nvPicPr>
        <xdr:cNvPr id="9" name="Picture 9" descr="ncdKvI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</xdr:row>
      <xdr:rowOff>38100</xdr:rowOff>
    </xdr:from>
    <xdr:to>
      <xdr:col>4</xdr:col>
      <xdr:colOff>-38100</xdr:colOff>
      <xdr:row>5</xdr:row>
      <xdr:rowOff>-38100</xdr:rowOff>
    </xdr:to>
    <xdr:pic>
      <xdr:nvPicPr>
        <xdr:cNvPr id="10" name="Picture 10" descr="frBwMk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7</xdr:row>
      <xdr:rowOff>38100</xdr:rowOff>
    </xdr:from>
    <xdr:to>
      <xdr:col>4</xdr:col>
      <xdr:colOff>-38100</xdr:colOff>
      <xdr:row>8</xdr:row>
      <xdr:rowOff>-38100</xdr:rowOff>
    </xdr:to>
    <xdr:pic>
      <xdr:nvPicPr>
        <xdr:cNvPr id="11" name="Picture 11" descr="CTLyqf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11</xdr:row>
      <xdr:rowOff>38100</xdr:rowOff>
    </xdr:from>
    <xdr:to>
      <xdr:col>4</xdr:col>
      <xdr:colOff>-38100</xdr:colOff>
      <xdr:row>12</xdr:row>
      <xdr:rowOff>-38100</xdr:rowOff>
    </xdr:to>
    <xdr:pic>
      <xdr:nvPicPr>
        <xdr:cNvPr id="2" name="Picture 2" descr="IwGfZP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10</xdr:row>
      <xdr:rowOff>38100</xdr:rowOff>
    </xdr:from>
    <xdr:to>
      <xdr:col>4</xdr:col>
      <xdr:colOff>-38100</xdr:colOff>
      <xdr:row>11</xdr:row>
      <xdr:rowOff>-38100</xdr:rowOff>
    </xdr:to>
    <xdr:pic>
      <xdr:nvPicPr>
        <xdr:cNvPr id="3" name="Picture 3" descr="VFczDZ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9</xdr:row>
      <xdr:rowOff>38100</xdr:rowOff>
    </xdr:from>
    <xdr:to>
      <xdr:col>4</xdr:col>
      <xdr:colOff>-38100</xdr:colOff>
      <xdr:row>10</xdr:row>
      <xdr:rowOff>-38100</xdr:rowOff>
    </xdr:to>
    <xdr:pic>
      <xdr:nvPicPr>
        <xdr:cNvPr id="4" name="Picture 4" descr="pNlboF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8</xdr:row>
      <xdr:rowOff>38100</xdr:rowOff>
    </xdr:from>
    <xdr:to>
      <xdr:col>4</xdr:col>
      <xdr:colOff>-38100</xdr:colOff>
      <xdr:row>9</xdr:row>
      <xdr:rowOff>-38100</xdr:rowOff>
    </xdr:to>
    <xdr:pic>
      <xdr:nvPicPr>
        <xdr:cNvPr id="5" name="Picture 5" descr="wDWHVu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12</xdr:row>
      <xdr:rowOff>38100</xdr:rowOff>
    </xdr:from>
    <xdr:to>
      <xdr:col>4</xdr:col>
      <xdr:colOff>-38100</xdr:colOff>
      <xdr:row>13</xdr:row>
      <xdr:rowOff>-38100</xdr:rowOff>
    </xdr:to>
    <xdr:pic>
      <xdr:nvPicPr>
        <xdr:cNvPr id="6" name="Picture 6" descr="ZTUjcf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</xdr:row>
      <xdr:rowOff>38100</xdr:rowOff>
    </xdr:from>
    <xdr:to>
      <xdr:col>4</xdr:col>
      <xdr:colOff>-38100</xdr:colOff>
      <xdr:row>4</xdr:row>
      <xdr:rowOff>-38100</xdr:rowOff>
    </xdr:to>
    <xdr:pic>
      <xdr:nvPicPr>
        <xdr:cNvPr id="7" name="Picture 7" descr="cwVhDX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</xdr:row>
      <xdr:rowOff>38100</xdr:rowOff>
    </xdr:from>
    <xdr:to>
      <xdr:col>4</xdr:col>
      <xdr:colOff>-38100</xdr:colOff>
      <xdr:row>3</xdr:row>
      <xdr:rowOff>-38100</xdr:rowOff>
    </xdr:to>
    <xdr:pic>
      <xdr:nvPicPr>
        <xdr:cNvPr id="8" name="Picture 8" descr="OJiPEv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</xdr:row>
      <xdr:rowOff>38100</xdr:rowOff>
    </xdr:from>
    <xdr:to>
      <xdr:col>4</xdr:col>
      <xdr:colOff>-38100</xdr:colOff>
      <xdr:row>2</xdr:row>
      <xdr:rowOff>-38100</xdr:rowOff>
    </xdr:to>
    <xdr:pic>
      <xdr:nvPicPr>
        <xdr:cNvPr id="9" name="Picture 9" descr="RPuZjV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7</xdr:row>
      <xdr:rowOff>38100</xdr:rowOff>
    </xdr:from>
    <xdr:to>
      <xdr:col>4</xdr:col>
      <xdr:colOff>-38100</xdr:colOff>
      <xdr:row>8</xdr:row>
      <xdr:rowOff>-38100</xdr:rowOff>
    </xdr:to>
    <xdr:pic>
      <xdr:nvPicPr>
        <xdr:cNvPr id="10" name="Picture 10" descr="pXrufR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6</xdr:row>
      <xdr:rowOff>38100</xdr:rowOff>
    </xdr:from>
    <xdr:to>
      <xdr:col>4</xdr:col>
      <xdr:colOff>-38100</xdr:colOff>
      <xdr:row>7</xdr:row>
      <xdr:rowOff>-38100</xdr:rowOff>
    </xdr:to>
    <xdr:pic>
      <xdr:nvPicPr>
        <xdr:cNvPr id="11" name="Picture 11" descr="YHupIM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</xdr:row>
      <xdr:rowOff>38100</xdr:rowOff>
    </xdr:from>
    <xdr:to>
      <xdr:col>4</xdr:col>
      <xdr:colOff>-38100</xdr:colOff>
      <xdr:row>6</xdr:row>
      <xdr:rowOff>-38100</xdr:rowOff>
    </xdr:to>
    <xdr:pic>
      <xdr:nvPicPr>
        <xdr:cNvPr id="12" name="Picture 12" descr="eZdYsR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</xdr:row>
      <xdr:rowOff>38100</xdr:rowOff>
    </xdr:from>
    <xdr:to>
      <xdr:col>4</xdr:col>
      <xdr:colOff>-38100</xdr:colOff>
      <xdr:row>5</xdr:row>
      <xdr:rowOff>-38100</xdr:rowOff>
    </xdr:to>
    <xdr:pic>
      <xdr:nvPicPr>
        <xdr:cNvPr id="13" name="Picture 13" descr="vvnrPB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32"/>
    <col collapsed="false" customWidth="true" hidden="false" max="3" min="3" style="0" width="40"/>
    <col collapsed="false" customWidth="true" hidden="false" max="4" min="4" style="0" width="40"/>
    <col collapsed="false" customWidth="true" hidden="false" max="5" min="5" style="0" width="66"/>
    <col collapsed="false" customWidth="true" hidden="false" max="6" min="6" style="0" width="40"/>
    <col collapsed="false" customWidth="true" hidden="false" max="7" min="7" style="0" width="40"/>
  </cols>
  <sheetData>
    <row r="1">
      <c r="A1" s="4" t="str">
        <v>调研分类</v>
      </c>
      <c r="B1" s="4" t="str">
        <v>调研项目</v>
      </c>
      <c r="C1" s="1" t="str">
        <v>调研结果</v>
      </c>
      <c r="D1" s="1" t="str">
        <v>调研结果备注</v>
      </c>
      <c r="E1" s="3" t="str">
        <v>填写说明</v>
      </c>
      <c r="F1" s="3" t="str">
        <v>填写示例
（调研结果，调研结果备注）</v>
      </c>
      <c r="G1" s="3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7" t="str">
        <v>数据仓库组件（核心）</v>
      </c>
      <c r="B2" s="7" t="str">
        <v>数据库品牌及版本（含内核版本）</v>
      </c>
      <c r="C2" s="5"/>
      <c r="D2" s="5"/>
      <c r="E2" s="8" t="str">
        <v>填写现网系统的品牌及版本，若存在内核版本，请一并补充</v>
      </c>
      <c r="F2" s="8" t="str">
        <v>GP5.13（内核PG8.3.24）</v>
      </c>
      <c r="G2" s="6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7"/>
      <c r="B3" s="7" t="str">
        <v>集群规模/机器配置</v>
      </c>
      <c r="C3" s="5"/>
      <c r="D3" s="5"/>
      <c r="E3" s="8" t="str">
        <v>填写现网系统的机器配置信息</v>
      </c>
      <c r="F3" s="8" t="str">
        <v>2+8</v>
      </c>
      <c r="G3" s="6" t="str">
        <v>单台2*20Core，16*32G内存，18*3.84T硬盘</v>
      </c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7"/>
      <c r="B4" s="7" t="str">
        <v>数据量</v>
      </c>
      <c r="C4" s="5"/>
      <c r="D4" s="5"/>
      <c r="E4" s="8" t="str">
        <v>填写现网系统的数据量大小</v>
      </c>
      <c r="F4" s="8" t="str">
        <v>100TB</v>
      </c>
      <c r="G4" s="6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7"/>
      <c r="B5" s="7" t="str">
        <v>元数据情况（表、视图、函数等）</v>
      </c>
      <c r="C5" s="5"/>
      <c r="D5" s="5"/>
      <c r="E5" s="8" t="str">
        <v>填写现网系统的元数据情况，包括用户、序列、schema、表、视图、函数或存储过程等信息，参考&lt;元数据调研&gt;sheet页</v>
      </c>
      <c r="F5" s="8" t="str">
        <v>表：1300+
函数：1100+
……</v>
      </c>
      <c r="G5" s="6" t="str">
        <v>详见&lt;元数据调研&gt;sheet页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7"/>
      <c r="B6" s="9" t="str">
        <v>非sql语言函数使用情况（重点关注）</v>
      </c>
      <c r="C6" s="5"/>
      <c r="D6" s="5"/>
      <c r="E6" s="10" t="str">
        <v>填写现网系统的自定义函数使用到非sql语言的使用情况，如：plpythonu、plperl、plperlu等</v>
      </c>
      <c r="F6" s="8" t="str">
        <v>使用到了plpythonu、plperl、plperlu，分别为18个、247个、8个</v>
      </c>
      <c r="G6" s="6"/>
      <c r="H6" s="2"/>
      <c r="I6" s="2"/>
      <c r="J6" s="2"/>
      <c r="K6" s="2"/>
      <c r="L6" s="2"/>
      <c r="M6" s="2"/>
      <c r="N6" s="2"/>
      <c r="O6" s="2"/>
      <c r="P6" s="2"/>
      <c r="Q6" s="2"/>
    </row>
    <row customHeight="true" ht="19" r="7">
      <c r="A7" s="7"/>
      <c r="B7" s="11" t="str">
        <v>是否存在实时数据的场景</v>
      </c>
      <c r="C7" s="5"/>
      <c r="D7" s="5"/>
      <c r="E7" s="10"/>
      <c r="F7" s="8" t="str">
        <v>否</v>
      </c>
      <c r="G7" s="6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7" t="str">
        <v>数据采集组件（ETL）</v>
      </c>
      <c r="B8" s="12" t="str">
        <v>工具名称及版本</v>
      </c>
      <c r="C8" s="5"/>
      <c r="D8" s="5"/>
      <c r="E8" s="8"/>
      <c r="F8" s="8" t="str">
        <v>Kettle5.0</v>
      </c>
      <c r="G8" s="6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7"/>
      <c r="B9" s="12" t="str">
        <v>任务数</v>
      </c>
      <c r="C9" s="5"/>
      <c r="D9" s="5"/>
      <c r="E9" s="8"/>
      <c r="F9" s="8" t="str">
        <v>300+</v>
      </c>
      <c r="G9" s="6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7"/>
      <c r="B10" s="12" t="str">
        <v>源业务系统数据库类型</v>
      </c>
      <c r="C10" s="5"/>
      <c r="D10" s="5"/>
      <c r="E10" s="8"/>
      <c r="F10" s="8" t="str">
        <v>Oracle为主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</row>
    <row customHeight="true" ht="19" r="11">
      <c r="A11" s="7"/>
      <c r="B11" s="12" t="str">
        <v>源业务系统个数</v>
      </c>
      <c r="C11" s="5"/>
      <c r="D11" s="5"/>
      <c r="E11" s="8"/>
      <c r="F11" s="8" t="str">
        <v>20+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7"/>
      <c r="B12" s="15" t="str">
        <v>支持哪些数据源（是否支持目标库DWS）</v>
      </c>
      <c r="C12" s="5"/>
      <c r="D12" s="5"/>
      <c r="E12" s="8"/>
      <c r="F12" s="8" t="str">
        <v>支持DWS</v>
      </c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7" t="str">
        <v>调度服务组件</v>
      </c>
      <c r="B13" s="12" t="str">
        <v>工具名称及版本</v>
      </c>
      <c r="C13" s="5"/>
      <c r="D13" s="5"/>
      <c r="E13" s="8"/>
      <c r="F13" s="8" t="str">
        <v>TaskCTL6.0</v>
      </c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7"/>
      <c r="B14" s="15" t="str">
        <v>任务数</v>
      </c>
      <c r="C14" s="5"/>
      <c r="D14" s="5"/>
      <c r="E14" s="17"/>
      <c r="F14" s="17" t="str">
        <v>1500+</v>
      </c>
      <c r="G14" s="18"/>
      <c r="H14" s="2"/>
      <c r="I14" s="2"/>
      <c r="J14" s="2"/>
      <c r="K14" s="2"/>
      <c r="L14" s="2"/>
      <c r="M14" s="2"/>
      <c r="N14" s="2"/>
      <c r="O14" s="2"/>
      <c r="P14" s="2"/>
      <c r="Q14" s="2"/>
    </row>
    <row customHeight="true" ht="19" r="15">
      <c r="A15" s="7"/>
      <c r="B15" s="15" t="str">
        <v>调度频率</v>
      </c>
      <c r="C15" s="5"/>
      <c r="D15" s="5"/>
      <c r="E15" s="17"/>
      <c r="F15" s="17" t="str">
        <v>每天下午15点启动一次</v>
      </c>
      <c r="G15" s="18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7"/>
      <c r="B16" s="15" t="str">
        <v>支持哪些数据源（是否支持目标库DWS）</v>
      </c>
      <c r="C16" s="5"/>
      <c r="D16" s="5"/>
      <c r="E16" s="17"/>
      <c r="F16" s="17" t="str">
        <v>支持DWS</v>
      </c>
      <c r="G16" s="18" t="str">
        <v>小部分任务每小时启动一次</v>
      </c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7" t="str">
        <v>数据服务组件（API）</v>
      </c>
      <c r="B17" s="12" t="str">
        <v>工具名称及版本</v>
      </c>
      <c r="C17" s="5"/>
      <c r="D17" s="5"/>
      <c r="E17" s="8"/>
      <c r="F17" s="8" t="str">
        <v>XXXAPI数据服务V1.0</v>
      </c>
      <c r="G17" s="6"/>
      <c r="H17" s="2"/>
      <c r="I17" s="2"/>
      <c r="J17" s="2"/>
      <c r="K17" s="2"/>
      <c r="L17" s="2"/>
      <c r="M17" s="2"/>
      <c r="N17" s="2"/>
      <c r="O17" s="2"/>
      <c r="P17" s="2"/>
      <c r="Q17" s="2"/>
    </row>
    <row customHeight="true" ht="19" r="18">
      <c r="A18" s="7"/>
      <c r="B18" s="15" t="str">
        <v>接口数量</v>
      </c>
      <c r="C18" s="5"/>
      <c r="D18" s="5"/>
      <c r="E18" s="8"/>
      <c r="F18" s="8" t="str">
        <v>200+</v>
      </c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</row>
    <row customHeight="true" ht="19" r="19">
      <c r="A19" s="7"/>
      <c r="B19" s="15" t="str">
        <v>支持哪些数据源（是否支持目标库DWS）</v>
      </c>
      <c r="C19" s="5"/>
      <c r="D19" s="5"/>
      <c r="E19" s="8"/>
      <c r="F19" s="8" t="str">
        <v>支持DWS</v>
      </c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14" t="str">
        <v>数据应用组件（BI等）</v>
      </c>
      <c r="B20" s="13" t="str">
        <v>应用数量</v>
      </c>
      <c r="C20" s="5"/>
      <c r="D20" s="5"/>
      <c r="E20" s="8" t="str">
        <v>填写上层数据应用的个数</v>
      </c>
      <c r="F20" s="8">
        <v>2</v>
      </c>
      <c r="G20" s="6" t="str">
        <v>报表系统、数据实验室等2个应用</v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customHeight="true" ht="19" r="21">
      <c r="A21" s="14"/>
      <c r="B21" s="16" t="str">
        <v>是否由应用厂商进行适配（关注）</v>
      </c>
      <c r="C21" s="5"/>
      <c r="D21" s="5"/>
      <c r="E21" s="8"/>
      <c r="F21" s="8" t="str">
        <v>否</v>
      </c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14"/>
      <c r="B22" s="13" t="str">
        <v>[1]应用名称</v>
      </c>
      <c r="C22" s="5"/>
      <c r="D22" s="5"/>
      <c r="E22" s="8"/>
      <c r="F22" s="8" t="str">
        <v>报表系统</v>
      </c>
      <c r="G22" s="6" t="str">
        <v>核心应用1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14"/>
      <c r="B23" s="13" t="str">
        <v>[1]使用的工具集及版本</v>
      </c>
      <c r="C23" s="5"/>
      <c r="D23" s="5"/>
      <c r="E23" s="8"/>
      <c r="F23" s="8" t="str">
        <v>FineBI5.x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14"/>
      <c r="B24" s="13" t="str">
        <v>[1]数量</v>
      </c>
      <c r="C24" s="5"/>
      <c r="D24" s="5"/>
      <c r="E24" s="8"/>
      <c r="F24" s="8" t="str">
        <v>500+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14"/>
      <c r="B25" s="13" t="str">
        <v>[2]应用名称</v>
      </c>
      <c r="C25" s="5"/>
      <c r="D25" s="5"/>
      <c r="E25" s="8"/>
      <c r="F25" s="8" t="str">
        <v>数据实验室</v>
      </c>
      <c r="G25" s="6" t="str">
        <v>核心应用2</v>
      </c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14"/>
      <c r="B26" s="13" t="str">
        <v>[2]使用的工具集及版本</v>
      </c>
      <c r="C26" s="5"/>
      <c r="D26" s="5"/>
      <c r="E26" s="8"/>
      <c r="F26" s="8" t="str">
        <v>客户自研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14"/>
      <c r="B27" s="13" t="str">
        <v>[2]数量</v>
      </c>
      <c r="C27" s="5"/>
      <c r="D27" s="5"/>
      <c r="E27" s="8"/>
      <c r="F27" s="8" t="str">
        <v>200+</v>
      </c>
      <c r="G27" s="6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14"/>
      <c r="B28" s="13" t="str">
        <v>[3]应用名称</v>
      </c>
      <c r="C28" s="5"/>
      <c r="D28" s="5"/>
      <c r="E28" s="8"/>
      <c r="F28" s="8"/>
      <c r="G28" s="6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14"/>
      <c r="B29" s="13" t="str">
        <v>[3]使用的工具集及版本</v>
      </c>
      <c r="C29" s="5"/>
      <c r="D29" s="5"/>
      <c r="E29" s="8"/>
      <c r="F29" s="8"/>
      <c r="G29" s="6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14"/>
      <c r="B30" s="13" t="str">
        <v>[3]数量</v>
      </c>
      <c r="C30" s="5"/>
      <c r="D30" s="5"/>
      <c r="E30" s="8"/>
      <c r="F30" s="8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</sheetData>
  <mergeCells>
    <mergeCell ref="F1:G1"/>
    <mergeCell ref="A2:A7"/>
    <mergeCell ref="A17:A19"/>
    <mergeCell ref="A20:A30"/>
    <mergeCell ref="A13:A16"/>
    <mergeCell ref="A8:A12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3"/>
    <col collapsed="false" customWidth="true" hidden="false" max="3" min="3" style="0" width="30"/>
    <col collapsed="false" customWidth="true" hidden="false" max="4" min="4" style="0" width="75"/>
    <col collapsed="false" customWidth="true" hidden="false" max="5" min="5" style="0" width="66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customHeight="true" ht="36" r="1">
      <c r="A1" s="23" t="str">
        <v>序号</v>
      </c>
      <c r="B1" s="23" t="str">
        <v>元数据分类</v>
      </c>
      <c r="C1" s="24" t="str">
        <v>调研结果：截图或填写数据</v>
      </c>
      <c r="D1" s="24" t="str">
        <v>调研结果示例（GP）</v>
      </c>
      <c r="E1" s="25" t="str">
        <v>统计脚本参考（GP）：适配GP5、GP6</v>
      </c>
    </row>
    <row customHeight="true" ht="36" r="2">
      <c r="A2" s="20">
        <v>1</v>
      </c>
      <c r="B2" s="20" t="str">
        <v>版本信息</v>
      </c>
      <c r="C2" s="21"/>
      <c r="D2" s="21"/>
      <c r="E2" s="22" t="str">
        <v>--查看数据库版本（含内核）
SELECT version() AS versions;</v>
      </c>
    </row>
    <row customHeight="true" ht="36" r="3">
      <c r="A3" s="20">
        <v>2</v>
      </c>
      <c r="B3" s="20" t="str">
        <v>库实例个数</v>
      </c>
      <c r="C3" s="21"/>
      <c r="D3" s="21"/>
      <c r="E3" s="22" t="str">
        <v>--统计数据库实例的个数
SELECT count(1) AS database_cnt FROM pg_catalog.pg_database WHERE datname NOT IN ('template0','template1','gpperfmon','postgres');</v>
      </c>
    </row>
    <row customHeight="true" ht="55.15527950310559" r="4">
      <c r="A4" s="20">
        <v>3</v>
      </c>
      <c r="B4" s="20" t="str">
        <v>用户个数</v>
      </c>
      <c r="C4" s="21"/>
      <c r="D4" s="21"/>
      <c r="E4" s="22" t="str">
        <v>--统计用户个数
SELECT count(1) AS user_cnt FROM pg_catalog.pg_user;</v>
      </c>
    </row>
    <row customHeight="true" ht="222.87058823529412" r="5">
      <c r="A5" s="20">
        <v>4</v>
      </c>
      <c r="B5" s="31" t="str">
        <v>数据类型（当前连接的DB）</v>
      </c>
      <c r="C5" s="32"/>
      <c r="D5" s="32"/>
      <c r="E5" s="33" t="str">
        <v>--统计数据库实例的数据类型的使用情况
SELECT DISTINCT atttypid::regtype AS data_type
  FROM pg_catalog.pg_attribute pa
 INNER JOIN pg_catalog.pg_class pc 
    ON pc.oid = pa.attrelid 
   AND pa.attnum &gt; 0
 INNER JOIN pg_catalog.pg_namespace pn 
    ON pn.oid = pc.relnamespace  
   AND pn.nspname NOT IN ('pg_catalog','pg_toast','information_schema','gp_toolkit','pg_bitmapindex','pg_aoseg','gptransfer','gpdbtransfer','mad_sync','oracompat','madlib')
 ORDER BY 1
;</v>
      </c>
    </row>
    <row customHeight="true" ht="36" r="6">
      <c r="A6" s="20">
        <v>5</v>
      </c>
      <c r="B6" s="20" t="str">
        <v>schema个数（当前连接的DB）</v>
      </c>
      <c r="C6" s="21"/>
      <c r="D6" s="21"/>
      <c r="E6" s="22" t="str">
        <v>--统计schema个数（当前连接的DB）
SELECT count(1) AS schema_cnt  FROM pg_catalog.pg_namespace 
 WHERE nspname NOT IN ('pg_catalog','pg_toast','information_schema','gp_toolkit','pg_bitmapindex','pg_aoseg','gptransfer','gpdbtransfer','mad_sync','oracompat','madlib')
;</v>
      </c>
    </row>
    <row customHeight="true" ht="60.11076923076923" r="7">
      <c r="A7" s="20">
        <v>6</v>
      </c>
      <c r="B7" s="20" t="str">
        <v>序列个数（按schema分组）</v>
      </c>
      <c r="C7" s="21"/>
      <c r="D7" s="21"/>
      <c r="E7" s="22" t="str">
        <v>--按schema分组统计序列个数
WITH w_sequence AS (
        SELECT pn.nspname AS schemaname, COUNT(1) AS sequence_cnt 
          FROM pg_catalog.pg_class pc
         INNER JOIN pg_catalog.pg_namespace pn
            ON pn.oid = pc.relnamespace 
           AND pn.nspname NOT IN ('pg_catalog','pg_toast','information_schema','gp_toolkit','pg_bitmapindex','pg_aoseg','gptransfer','gpdbtransfer','mad_sync','oracompat','madlib')
          WHERE pc.relkind = 'S'
          GROUP BY pn.nspname
)
SELECT * FROM w_sequence 
UNION ALL 
SELECT 'total-all' AS schemaname,sum(sequence_cnt) AS sequence_cnt FROM w_sequence 
 ORDER BY 2 DESC NULLS LAST, 1
;</v>
      </c>
    </row>
    <row customHeight="true" ht="64.31470588235294" r="8">
      <c r="A8" s="20">
        <v>7</v>
      </c>
      <c r="B8" s="23" t="str">
        <v>表个数（按schema分组）</v>
      </c>
      <c r="C8" s="21"/>
      <c r="D8" s="21"/>
      <c r="E8" s="22" t="str" xml:space="preserve">
        <v>--统计表个数（含分区和压缩）、分区表个数、压缩表个数，按schema分组
WITH w_table AS (
        SELECT pt.schemaname 
                ,sum(CASE WHEN t2.schemaname = pt.schemaname AND t2.partitiontablename = pt.tablename THEN 0 ELSE 1 END) AS table_cnt --所有表
                ,sum(CASE WHEN pp.schemaname = pt.schemaname AND pp.tablename = pt.tablename THEN 1 ELSE 0 END) AS partition_table_cnt --分区表
                ,sum(CASE WHEN t3.schemaname = pt.schemaname AND t3.tablename = pt.tablename THEN 1 ELSE 0 END) AS pression_table_cnt  --压缩表
          FROM pg_catalog.pg_tables pt
          LEFT JOIN (SELECT DISTINCT schemaname ,tablename FROM pg_catalog.pg_partitions) pp 
            ON pp.tablename = pt.tablename
           AND pp.schemaname = pt.schemaname
          LEFT JOIN (SELECT DISTINCT schemaname ,partitiontablename FROM pg_catalog.pg_partitions) t2 
            ON t2.partitiontablename = pt.tablename
           AND t2.schemaname = pt.schemaname
          LEFT JOIN ( --压缩
                        SELECT pn.nspname AS schemaname, pc.relname AS tablename, pc.reloptions
                          FROM pg_catalog.pg_class pc 
                          LEFT JOIN pg_catalog.pg_namespace pn 
                            ON pn.oid = pc.relnamespace 
                          LEFT JOIN (SELECT DISTINCT schemaname ,tablename FROM pg_catalog.pg_partitions) pp 
                            ON pp.tablename = pc.relname
                           AND pp.schemaname = pn.nspname
                         WHERE relstorage = 'c' --压缩表
                           AND pn.nspname NOT IN ('pg_catalog','pg_toast','information_schema','gp_toolkit','pg_bitmapindex','pg_aoseg','gptransfer','gpdbtransfer','mad_sync','oracompat','madlib')
                           AND pp.tablename IS NOT NULL --剔除分区
                ) t3
                ON t3.schemaname = pt.schemaname 
           AND t3.tablename = pt.tablename
         WHERE pt.schemaname NOT IN ('pg_catalog','pg_toast','information_schema','gp_toolkit','pg_bitmapindex','pg_aoseg','gptransfer','gpdbtransfer','mad_sync','oracompat','madlib')
         GROUP BY pt.schemaname 
)
SELECT * FROM w_table 
UNION ALL 
SELECT 'total-all' AS schemaname,sum(table_cnt) AS table_cnt,sum(partition_table_cnt) AS partition_table_cnt,sum(pression_table_cnt) AS pression_table_cnt FROM w_table 
 ORDER BY 2 DESC NULLS LAST, 1
; </v>
      </c>
    </row>
    <row customHeight="true" ht="213.70462633451956" r="9">
      <c r="A9" s="20">
        <v>8</v>
      </c>
      <c r="B9" s="23" t="str">
        <v>数据量（按database分组）</v>
      </c>
      <c r="C9" s="21"/>
      <c r="D9" s="21"/>
      <c r="E9" s="22" t="str">
        <v>--按database分组统计数据库实例的数据量
SELECT pd.datname AS dbname, pg_size_pretty(pg_database_size(pd.datname)) AS dbsize FROM pg_catalog.pg_database pd ORDER BY 2 DESC;</v>
      </c>
    </row>
    <row customHeight="true" ht="36" r="10">
      <c r="A10" s="20">
        <v>9</v>
      </c>
      <c r="B10" s="27" t="str">
        <v>视图个数（按schema分组）</v>
      </c>
      <c r="C10" s="28"/>
      <c r="D10" s="28"/>
      <c r="E10" s="29" t="str" xml:space="preserve">
        <v>--统计视图个数，按schema分组
WITH w_view AS (
        SELECT schemaname ,count(1) AS view_cnt 
          FROM pg_catalog.pg_views 
         WHERE schemaname NOT IN ('pg_catalog','pg_toast','information_schema','gp_toolkit','pg_bitmapindex','pg_aoseg','gptransfer','gpdbtransfer','mad_sync','oracompat','madlib')
         GROUP BY schemaname 
)
SELECT * FROM w_view 
UNION ALL 
SELECT 'total-all' AS schemaname,sum(view_cnt) AS view_cnt FROM w_view 
 ORDER BY 2 DESC NULLS LAST, 1
; </v>
      </c>
    </row>
    <row customHeight="true" ht="78.08441558441558" r="11">
      <c r="A11" s="27">
        <v>10</v>
      </c>
      <c r="B11" s="30" t="str">
        <v>函数个数（按schema、language分组）</v>
      </c>
      <c r="C11" s="28"/>
      <c r="D11" s="28"/>
      <c r="E11" s="28" t="str">
        <v>--统计函数个数，按schema、language分组 
WITH w_function AS (
        SELECT pn.nspname AS schemaname
                ,pl.lanname 
                ,count(1) AS function_cnt 
          FROM pg_catalog.pg_proc pp
          LEFT JOIN pg_catalog.pg_namespace pn
            ON pn.oid = pp.pronamespace 
          LEFT JOIN pg_catalog.pg_language pl
            ON pl.oid = pp.prolang 
         WHERE pn.nspname NOT IN ('pg_catalog','pg_toast','information_schema','gp_toolkit','pg_bitmapindex','pg_aoseg','gptransfer','gpdbtransfer','mad_sync','oracompat','madlib')
         GROUP BY pn.nspname ,pl.lanname 
)
SELECT * FROM w_function 
UNION ALL 
SELECT 'total-all' AS schemaname,'total-all' AS lanname,sum(function_cnt) AS function_cnt FROM w_function 
 ORDER BY 3 DESC NULLS LAST, 2, 1 
; 
</v>
      </c>
    </row>
    <row customHeight="true" ht="36" r="12">
      <c r="A12" s="20">
        <v>11</v>
      </c>
      <c r="B12" s="20" t="str">
        <v>扩展插件使用情况</v>
      </c>
      <c r="C12" s="21"/>
      <c r="D12" s="21"/>
      <c r="E12" s="21"/>
      <c r="F12" s="26"/>
    </row>
    <row customHeight="true" ht="36" r="13">
      <c r="A13" s="19"/>
      <c r="B13" s="19"/>
      <c r="C13" s="26"/>
      <c r="D13" s="26"/>
      <c r="E13" s="26"/>
    </row>
    <row customHeight="true" ht="36" r="14">
      <c r="A14" s="19"/>
      <c r="B14" s="19"/>
    </row>
    <row customHeight="true" ht="36" r="15">
      <c r="A15" s="19"/>
      <c r="B15" s="19"/>
    </row>
    <row customHeight="true" ht="36" r="16">
      <c r="A16" s="19"/>
      <c r="B16" s="19"/>
    </row>
    <row customHeight="true" ht="36" r="17">
      <c r="A17" s="19"/>
      <c r="B17" s="19"/>
    </row>
    <row customHeight="true" ht="36" r="18">
      <c r="A18" s="19"/>
      <c r="B18" s="19"/>
    </row>
    <row customHeight="true" ht="36" r="19">
      <c r="A19" s="19"/>
      <c r="B19" s="19"/>
    </row>
    <row customHeight="true" ht="36" r="20">
      <c r="A20" s="19"/>
      <c r="B20" s="19"/>
    </row>
    <row customHeight="true" ht="36" r="21">
      <c r="A21" s="19"/>
      <c r="B21" s="19"/>
    </row>
    <row customHeight="true" ht="36" r="22">
      <c r="A22" s="19"/>
      <c r="B22" s="19"/>
    </row>
    <row customHeight="true" ht="36" r="23">
      <c r="A23" s="19"/>
      <c r="B23" s="19"/>
    </row>
    <row customHeight="true" ht="36" r="24">
      <c r="A24" s="19"/>
      <c r="B24" s="19"/>
    </row>
    <row customHeight="true" ht="36" r="25">
      <c r="A25" s="19"/>
      <c r="B25" s="19"/>
    </row>
    <row customHeight="true" ht="36" r="26">
      <c r="A26" s="19"/>
      <c r="B26" s="19"/>
    </row>
    <row customHeight="true" ht="36" r="27">
      <c r="A27" s="19"/>
      <c r="B27" s="19"/>
    </row>
    <row customHeight="true" ht="36" r="28">
      <c r="A28" s="19"/>
      <c r="B28" s="19"/>
    </row>
    <row customHeight="true" ht="36" r="29">
      <c r="A29" s="19"/>
      <c r="B29" s="19"/>
    </row>
    <row customHeight="true" ht="36" r="30">
      <c r="A30" s="19"/>
      <c r="B30" s="19"/>
    </row>
    <row customHeight="true" ht="36" r="31">
      <c r="A31" s="19"/>
      <c r="B31" s="19"/>
    </row>
    <row customHeight="true" ht="36" r="32">
      <c r="A32" s="19"/>
      <c r="B32" s="19"/>
    </row>
    <row customHeight="true" ht="36" r="33">
      <c r="A33" s="19"/>
      <c r="B33" s="19"/>
    </row>
    <row customHeight="true" ht="36" r="34">
      <c r="A34" s="19"/>
      <c r="B34" s="19"/>
    </row>
    <row customHeight="true" ht="36" r="35">
      <c r="A35" s="19"/>
      <c r="B35" s="19"/>
    </row>
    <row customHeight="true" ht="36" r="36">
      <c r="A36" s="19"/>
      <c r="B36" s="19"/>
    </row>
    <row customHeight="true" ht="36" r="37">
      <c r="A37" s="19"/>
      <c r="B37" s="19"/>
    </row>
    <row customHeight="true" ht="36" r="38">
      <c r="A38" s="19"/>
      <c r="B38" s="19"/>
    </row>
    <row customHeight="true" ht="36" r="39">
      <c r="A39" s="19"/>
      <c r="B39" s="19"/>
    </row>
    <row customHeight="true" ht="36" r="40">
      <c r="A40" s="19"/>
      <c r="B40" s="19"/>
    </row>
    <row customHeight="true" ht="36" r="41">
      <c r="A41" s="19"/>
      <c r="B41" s="19"/>
    </row>
    <row customHeight="true" ht="36" r="42">
      <c r="A42" s="19"/>
      <c r="B42" s="19"/>
    </row>
    <row customHeight="true" ht="36" r="43">
      <c r="A43" s="19"/>
      <c r="B43" s="19"/>
    </row>
    <row customHeight="true" ht="36" r="44">
      <c r="A44" s="19"/>
      <c r="B44" s="19"/>
    </row>
    <row customHeight="true" ht="36" r="45">
      <c r="A45" s="19"/>
      <c r="B45" s="19"/>
    </row>
    <row customHeight="true" ht="36" r="46">
      <c r="A46" s="19"/>
      <c r="B46" s="19"/>
    </row>
    <row customHeight="true" ht="36" r="47">
      <c r="A47" s="19"/>
      <c r="B47" s="19"/>
    </row>
    <row customHeight="true" ht="36" r="48">
      <c r="A48" s="19"/>
      <c r="B48" s="19"/>
    </row>
    <row customHeight="true" ht="36" r="49">
      <c r="A49" s="19"/>
      <c r="B49" s="19"/>
    </row>
    <row customHeight="true" ht="36" r="50">
      <c r="A50" s="19"/>
      <c r="B50" s="19"/>
    </row>
    <row customHeight="true" ht="36" r="51">
      <c r="A51" s="19"/>
      <c r="B51" s="19"/>
    </row>
    <row customHeight="true" ht="36" r="52">
      <c r="A52" s="19"/>
      <c r="B52" s="19"/>
    </row>
    <row customHeight="true" ht="36" r="53">
      <c r="A53" s="19"/>
      <c r="B53" s="19"/>
    </row>
    <row customHeight="true" ht="36" r="54">
      <c r="A54" s="19"/>
      <c r="B54" s="19"/>
    </row>
    <row customHeight="true" ht="36" r="55">
      <c r="A55" s="19"/>
      <c r="B55" s="19"/>
    </row>
    <row customHeight="true" ht="36" r="56">
      <c r="A56" s="19"/>
      <c r="B56" s="19"/>
    </row>
    <row customHeight="true" ht="36" r="57">
      <c r="A57" s="19"/>
      <c r="B57" s="19"/>
    </row>
    <row customHeight="true" ht="36" r="58">
      <c r="A58" s="19"/>
      <c r="B58" s="19"/>
    </row>
    <row customHeight="true" ht="36" r="59">
      <c r="A59" s="19"/>
      <c r="B59" s="19"/>
    </row>
    <row customHeight="true" ht="36" r="60">
      <c r="A60" s="19"/>
      <c r="B60" s="19"/>
    </row>
    <row customHeight="true" ht="36" r="61">
      <c r="A61" s="19"/>
      <c r="B61" s="19"/>
    </row>
    <row customHeight="true" ht="36" r="62">
      <c r="A62" s="19"/>
      <c r="B62" s="19"/>
    </row>
    <row customHeight="true" ht="36" r="63">
      <c r="A63" s="19"/>
      <c r="B63" s="19"/>
    </row>
    <row customHeight="true" ht="36" r="64">
      <c r="A64" s="19"/>
      <c r="B64" s="19"/>
    </row>
    <row customHeight="true" ht="36" r="65">
      <c r="A65" s="19"/>
      <c r="B65" s="19"/>
    </row>
    <row customHeight="true" ht="36" r="66">
      <c r="A66" s="19"/>
      <c r="B66" s="19"/>
    </row>
    <row customHeight="true" ht="36" r="67">
      <c r="A67" s="19"/>
      <c r="B67" s="19"/>
    </row>
    <row customHeight="true" ht="36" r="68">
      <c r="A68" s="19"/>
      <c r="B68" s="19"/>
    </row>
    <row customHeight="true" ht="36" r="69">
      <c r="A69" s="19"/>
      <c r="B69" s="19"/>
    </row>
    <row customHeight="true" ht="36" r="70">
      <c r="A70" s="19"/>
      <c r="B70" s="19"/>
    </row>
    <row customHeight="true" ht="36" r="71">
      <c r="A71" s="19"/>
      <c r="B71" s="19"/>
    </row>
    <row customHeight="true" ht="36" r="72">
      <c r="A72" s="19"/>
      <c r="B72" s="19"/>
    </row>
    <row customHeight="true" ht="36" r="73">
      <c r="A73" s="19"/>
      <c r="B73" s="19"/>
    </row>
    <row customHeight="true" ht="36" r="74">
      <c r="A74" s="19"/>
      <c r="B74" s="19"/>
    </row>
    <row customHeight="true" ht="36" r="75">
      <c r="A75" s="19"/>
      <c r="B75" s="19"/>
    </row>
    <row customHeight="true" ht="36" r="76">
      <c r="A76" s="19"/>
      <c r="B76" s="19"/>
    </row>
    <row customHeight="true" ht="36" r="77">
      <c r="A77" s="19"/>
      <c r="B77" s="19"/>
    </row>
    <row customHeight="true" ht="36" r="78">
      <c r="A78" s="19"/>
      <c r="B78" s="19"/>
    </row>
    <row customHeight="true" ht="36" r="79">
      <c r="A79" s="19"/>
      <c r="B79" s="19"/>
    </row>
    <row customHeight="true" ht="36" r="80">
      <c r="A80" s="19"/>
      <c r="B80" s="19"/>
    </row>
    <row customHeight="true" ht="36" r="81">
      <c r="A81" s="19"/>
      <c r="B81" s="19"/>
    </row>
    <row customHeight="true" ht="36" r="82">
      <c r="A82" s="19"/>
      <c r="B82" s="19"/>
    </row>
    <row customHeight="true" ht="36" r="83">
      <c r="A83" s="19"/>
      <c r="B83" s="19"/>
    </row>
    <row customHeight="true" ht="36" r="84">
      <c r="A84" s="19"/>
      <c r="B84" s="19"/>
    </row>
    <row customHeight="true" ht="36" r="85">
      <c r="A85" s="19"/>
      <c r="B85" s="19"/>
    </row>
    <row customHeight="true" ht="36" r="86">
      <c r="A86" s="19"/>
      <c r="B86" s="19"/>
    </row>
    <row customHeight="true" ht="36" r="87">
      <c r="A87" s="19"/>
      <c r="B87" s="19"/>
    </row>
    <row customHeight="true" ht="36" r="88">
      <c r="A88" s="19"/>
      <c r="B88" s="19"/>
    </row>
    <row customHeight="true" ht="36" r="89">
      <c r="A89" s="19"/>
      <c r="B89" s="19"/>
    </row>
    <row customHeight="true" ht="36" r="90">
      <c r="A90" s="19"/>
      <c r="B90" s="19"/>
    </row>
    <row customHeight="true" ht="36" r="91">
      <c r="A91" s="19"/>
      <c r="B91" s="19"/>
    </row>
    <row customHeight="true" ht="36" r="92">
      <c r="A92" s="19"/>
      <c r="B92" s="19"/>
    </row>
    <row customHeight="true" ht="36" r="93">
      <c r="A93" s="19"/>
      <c r="B93" s="19"/>
    </row>
    <row customHeight="true" ht="36" r="94">
      <c r="A94" s="19"/>
      <c r="B94" s="19"/>
    </row>
    <row customHeight="true" ht="36" r="95">
      <c r="A95" s="19"/>
      <c r="B95" s="19"/>
    </row>
    <row customHeight="true" ht="36" r="96">
      <c r="A96" s="19"/>
      <c r="B96" s="19"/>
    </row>
    <row customHeight="true" ht="36" r="97">
      <c r="A97" s="19"/>
      <c r="B97" s="19"/>
    </row>
    <row customHeight="true" ht="36" r="98">
      <c r="A98" s="19"/>
      <c r="B98" s="19"/>
    </row>
    <row customHeight="true" ht="36" r="99">
      <c r="A99" s="19"/>
      <c r="B99" s="19"/>
    </row>
    <row customHeight="true" ht="36" r="100">
      <c r="A100" s="19"/>
      <c r="B100" s="19"/>
    </row>
    <row customHeight="true" ht="36" r="101">
      <c r="A101" s="19"/>
      <c r="B101" s="19"/>
    </row>
    <row customHeight="true" ht="36" r="102">
      <c r="A102" s="19"/>
      <c r="B102" s="19"/>
    </row>
    <row customHeight="true" ht="36" r="103">
      <c r="A103" s="19"/>
      <c r="B103" s="19"/>
    </row>
    <row customHeight="true" ht="36" r="104">
      <c r="A104" s="19"/>
      <c r="B104" s="19"/>
    </row>
    <row customHeight="true" ht="36" r="105">
      <c r="A105" s="19"/>
      <c r="B105" s="19"/>
    </row>
    <row customHeight="true" ht="36" r="106">
      <c r="A106" s="19"/>
      <c r="B106" s="19"/>
    </row>
    <row customHeight="true" ht="36" r="107">
      <c r="A107" s="19"/>
      <c r="B107" s="19"/>
    </row>
    <row customHeight="true" ht="36" r="108">
      <c r="A108" s="19"/>
      <c r="B108" s="19"/>
    </row>
    <row customHeight="true" ht="36" r="109">
      <c r="A109" s="19"/>
      <c r="B109" s="19"/>
    </row>
    <row customHeight="true" ht="36" r="110">
      <c r="A110" s="19"/>
      <c r="B110" s="19"/>
    </row>
    <row customHeight="true" ht="36" r="111">
      <c r="A111" s="19"/>
      <c r="B111" s="19"/>
    </row>
    <row customHeight="true" ht="36" r="112">
      <c r="A112" s="19"/>
      <c r="B112" s="19"/>
    </row>
    <row customHeight="true" ht="36" r="113">
      <c r="A113" s="19"/>
      <c r="B113" s="19"/>
    </row>
    <row customHeight="true" ht="36" r="114">
      <c r="A114" s="19"/>
      <c r="B114" s="19"/>
    </row>
    <row customHeight="true" ht="36" r="115">
      <c r="A115" s="19"/>
      <c r="B115" s="19"/>
    </row>
    <row customHeight="true" ht="36" r="116">
      <c r="A116" s="19"/>
      <c r="B116" s="19"/>
    </row>
    <row customHeight="true" ht="36" r="117">
      <c r="A117" s="19"/>
      <c r="B117" s="19"/>
    </row>
    <row customHeight="true" ht="36" r="118">
      <c r="A118" s="19"/>
      <c r="B118" s="19"/>
    </row>
    <row customHeight="true" ht="36" r="119">
      <c r="A119" s="19"/>
      <c r="B119" s="19"/>
    </row>
    <row customHeight="true" ht="36" r="120">
      <c r="A120" s="19"/>
      <c r="B120" s="19"/>
    </row>
    <row customHeight="true" ht="36" r="121">
      <c r="A121" s="19"/>
      <c r="B121" s="19"/>
    </row>
    <row customHeight="true" ht="36" r="122">
      <c r="A122" s="19"/>
      <c r="B122" s="19"/>
    </row>
    <row customHeight="true" ht="36" r="123">
      <c r="A123" s="19"/>
      <c r="B123" s="19"/>
    </row>
    <row customHeight="true" ht="36" r="124">
      <c r="A124" s="19"/>
      <c r="B124" s="19"/>
    </row>
    <row customHeight="true" ht="36" r="125">
      <c r="A125" s="19"/>
      <c r="B125" s="19"/>
    </row>
    <row customHeight="true" ht="36" r="126">
      <c r="A126" s="19"/>
      <c r="B126" s="19"/>
    </row>
    <row customHeight="true" ht="36" r="127">
      <c r="A127" s="19"/>
      <c r="B127" s="19"/>
    </row>
    <row customHeight="true" ht="36" r="128">
      <c r="A128" s="19"/>
      <c r="B128" s="19"/>
    </row>
    <row customHeight="true" ht="36" r="129">
      <c r="A129" s="19"/>
      <c r="B129" s="19"/>
    </row>
    <row customHeight="true" ht="36" r="130">
      <c r="A130" s="19"/>
      <c r="B130" s="19"/>
    </row>
    <row customHeight="true" ht="36" r="131">
      <c r="A131" s="19"/>
      <c r="B131" s="19"/>
    </row>
    <row customHeight="true" ht="36" r="132">
      <c r="A132" s="19"/>
      <c r="B132" s="19"/>
    </row>
    <row customHeight="true" ht="36" r="133">
      <c r="A133" s="19"/>
      <c r="B133" s="19"/>
    </row>
    <row customHeight="true" ht="36" r="134">
      <c r="A134" s="19"/>
      <c r="B134" s="19"/>
    </row>
    <row customHeight="true" ht="36" r="135">
      <c r="A135" s="19"/>
      <c r="B135" s="19"/>
    </row>
    <row customHeight="true" ht="36" r="136">
      <c r="A136" s="19"/>
      <c r="B136" s="19"/>
    </row>
    <row customHeight="true" ht="36" r="137">
      <c r="A137" s="19"/>
      <c r="B137" s="19"/>
    </row>
    <row customHeight="true" ht="36" r="138">
      <c r="A138" s="19"/>
      <c r="B138" s="19"/>
    </row>
    <row customHeight="true" ht="36" r="139">
      <c r="A139" s="19"/>
      <c r="B139" s="19"/>
    </row>
    <row customHeight="true" ht="36" r="140">
      <c r="A140" s="19"/>
      <c r="B140" s="19"/>
    </row>
    <row customHeight="true" ht="36" r="141">
      <c r="A141" s="19"/>
      <c r="B141" s="19"/>
    </row>
    <row customHeight="true" ht="36" r="142">
      <c r="A142" s="19"/>
      <c r="B142" s="19"/>
    </row>
    <row customHeight="true" ht="36" r="143">
      <c r="A143" s="19"/>
      <c r="B143" s="19"/>
    </row>
    <row customHeight="true" ht="36" r="144">
      <c r="A144" s="19"/>
      <c r="B144" s="19"/>
    </row>
    <row customHeight="true" ht="36" r="145">
      <c r="A145" s="19"/>
      <c r="B145" s="19"/>
    </row>
    <row customHeight="true" ht="36" r="146">
      <c r="A146" s="19"/>
      <c r="B146" s="19"/>
    </row>
    <row customHeight="true" ht="36" r="147">
      <c r="A147" s="19"/>
      <c r="B147" s="19"/>
    </row>
    <row customHeight="true" ht="36" r="148">
      <c r="A148" s="19"/>
      <c r="B148" s="19"/>
    </row>
    <row customHeight="true" ht="36" r="149">
      <c r="A149" s="19"/>
      <c r="B149" s="19"/>
    </row>
    <row customHeight="true" ht="36" r="150">
      <c r="A150" s="19"/>
      <c r="B150" s="19"/>
    </row>
    <row customHeight="true" ht="36" r="151">
      <c r="A151" s="19"/>
      <c r="B151" s="19"/>
    </row>
    <row customHeight="true" ht="36" r="152">
      <c r="A152" s="19"/>
      <c r="B152" s="19"/>
    </row>
    <row customHeight="true" ht="36" r="153">
      <c r="A153" s="19"/>
      <c r="B153" s="19"/>
    </row>
    <row customHeight="true" ht="36" r="154">
      <c r="A154" s="19"/>
      <c r="B154" s="19"/>
    </row>
    <row customHeight="true" ht="36" r="155">
      <c r="A155" s="19"/>
      <c r="B155" s="19"/>
    </row>
    <row customHeight="true" ht="36" r="156">
      <c r="A156" s="19"/>
      <c r="B156" s="19"/>
    </row>
    <row customHeight="true" ht="36" r="157">
      <c r="A157" s="19"/>
      <c r="B157" s="19"/>
    </row>
    <row customHeight="true" ht="36" r="158">
      <c r="A158" s="19"/>
      <c r="B158" s="19"/>
    </row>
    <row customHeight="true" ht="36" r="159">
      <c r="A159" s="19"/>
      <c r="B159" s="19"/>
    </row>
    <row customHeight="true" ht="36" r="160">
      <c r="A160" s="19"/>
      <c r="B160" s="19"/>
    </row>
    <row customHeight="true" ht="36" r="161">
      <c r="A161" s="19"/>
      <c r="B161" s="19"/>
    </row>
    <row customHeight="true" ht="36" r="162">
      <c r="A162" s="19"/>
      <c r="B162" s="19"/>
    </row>
    <row customHeight="true" ht="36" r="163">
      <c r="A163" s="19"/>
      <c r="B163" s="19"/>
    </row>
    <row customHeight="true" ht="36" r="164">
      <c r="A164" s="19"/>
      <c r="B164" s="19"/>
    </row>
    <row customHeight="true" ht="36" r="165">
      <c r="A165" s="19"/>
      <c r="B165" s="19"/>
    </row>
    <row customHeight="true" ht="36" r="166">
      <c r="A166" s="19"/>
      <c r="B166" s="19"/>
    </row>
    <row customHeight="true" ht="36" r="167">
      <c r="A167" s="19"/>
      <c r="B167" s="19"/>
    </row>
    <row customHeight="true" ht="36" r="168">
      <c r="A168" s="19"/>
      <c r="B168" s="19"/>
    </row>
    <row customHeight="true" ht="36" r="169">
      <c r="A169" s="19"/>
      <c r="B169" s="19"/>
    </row>
    <row customHeight="true" ht="36" r="170">
      <c r="A170" s="19"/>
      <c r="B170" s="19"/>
    </row>
    <row customHeight="true" ht="36" r="171">
      <c r="A171" s="19"/>
      <c r="B171" s="19"/>
    </row>
    <row customHeight="true" ht="36" r="172">
      <c r="A172" s="19"/>
      <c r="B172" s="19"/>
    </row>
    <row customHeight="true" ht="36" r="173">
      <c r="A173" s="19"/>
      <c r="B173" s="19"/>
    </row>
    <row customHeight="true" ht="36" r="174">
      <c r="A174" s="19"/>
      <c r="B174" s="19"/>
    </row>
    <row customHeight="true" ht="36" r="175">
      <c r="A175" s="19"/>
      <c r="B175" s="19"/>
    </row>
    <row customHeight="true" ht="36" r="176">
      <c r="A176" s="19"/>
      <c r="B176" s="19"/>
    </row>
    <row customHeight="true" ht="36" r="177">
      <c r="A177" s="19"/>
      <c r="B177" s="19"/>
    </row>
    <row customHeight="true" ht="36" r="178">
      <c r="A178" s="19"/>
      <c r="B178" s="19"/>
    </row>
    <row customHeight="true" ht="36" r="179">
      <c r="A179" s="19"/>
      <c r="B179" s="19"/>
    </row>
    <row customHeight="true" ht="36" r="180">
      <c r="A180" s="19"/>
      <c r="B180" s="19"/>
    </row>
    <row customHeight="true" ht="36" r="181">
      <c r="A181" s="19"/>
      <c r="B181" s="19"/>
    </row>
    <row customHeight="true" ht="36" r="182">
      <c r="A182" s="19"/>
      <c r="B182" s="19"/>
    </row>
    <row customHeight="true" ht="36" r="183">
      <c r="A183" s="19"/>
      <c r="B183" s="19"/>
    </row>
    <row customHeight="true" ht="36" r="184">
      <c r="A184" s="19"/>
      <c r="B184" s="19"/>
    </row>
    <row customHeight="true" ht="36" r="185">
      <c r="A185" s="19"/>
      <c r="B185" s="19"/>
    </row>
    <row customHeight="true" ht="36" r="186">
      <c r="A186" s="19"/>
      <c r="B186" s="19"/>
    </row>
    <row customHeight="true" ht="36" r="187">
      <c r="A187" s="19"/>
      <c r="B187" s="19"/>
    </row>
    <row customHeight="true" ht="36" r="188">
      <c r="A188" s="19"/>
      <c r="B188" s="19"/>
    </row>
    <row customHeight="true" ht="36" r="189">
      <c r="A189" s="19"/>
      <c r="B189" s="19"/>
    </row>
    <row customHeight="true" ht="36" r="190">
      <c r="A190" s="19"/>
      <c r="B190" s="19"/>
    </row>
    <row customHeight="true" ht="36" r="191">
      <c r="A191" s="19"/>
      <c r="B191" s="19"/>
    </row>
    <row customHeight="true" ht="36" r="192">
      <c r="A192" s="19"/>
      <c r="B192" s="19"/>
    </row>
    <row customHeight="true" ht="36" r="193">
      <c r="A193" s="19"/>
      <c r="B193" s="19"/>
    </row>
    <row customHeight="true" ht="36" r="194">
      <c r="A194" s="19"/>
      <c r="B194" s="19"/>
    </row>
    <row customHeight="true" ht="36" r="195">
      <c r="A195" s="19"/>
      <c r="B195" s="19"/>
    </row>
    <row customHeight="true" ht="36" r="196">
      <c r="A196" s="19"/>
      <c r="B196" s="19"/>
    </row>
    <row customHeight="true" ht="36" r="197">
      <c r="A197" s="19"/>
      <c r="B197" s="19"/>
    </row>
    <row customHeight="true" ht="36" r="198">
      <c r="A198" s="19"/>
      <c r="B198" s="19"/>
    </row>
    <row customHeight="true" ht="36" r="199">
      <c r="A199" s="19"/>
      <c r="B199" s="19"/>
    </row>
  </sheetData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7"/>
    <col collapsed="false" customWidth="true" hidden="false" max="3" min="3" style="0" width="58"/>
    <col collapsed="false" customWidth="true" hidden="false" max="4" min="4" style="0" width="66"/>
    <col collapsed="false" customWidth="true" hidden="false" max="5" min="5" style="0" width="66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customHeight="true" ht="36" r="1">
      <c r="A1" s="23" t="str">
        <v>序号</v>
      </c>
      <c r="B1" s="23" t="str">
        <v>元数据分类</v>
      </c>
      <c r="C1" s="24" t="str">
        <v>调研结果：截图或填写数据</v>
      </c>
      <c r="D1" s="24" t="str">
        <v>调研结果示例（Oracle）</v>
      </c>
      <c r="E1" s="24" t="str">
        <v>统计脚本参考（Oracle）：适配11g</v>
      </c>
    </row>
    <row customHeight="true" ht="36" r="2">
      <c r="A2" s="20">
        <v>1</v>
      </c>
      <c r="B2" s="20" t="str">
        <v>版本信息</v>
      </c>
      <c r="C2" s="21"/>
      <c r="D2" s="21"/>
      <c r="E2" s="21" t="str">
        <v>--查看数据库版本信息
SELECT * FROM v$version;</v>
      </c>
    </row>
    <row customHeight="true" ht="36" r="3">
      <c r="A3" s="20">
        <v>2</v>
      </c>
      <c r="B3" s="20" t="str">
        <v>库实例个数</v>
      </c>
      <c r="C3" s="21"/>
      <c r="D3" s="21"/>
      <c r="E3" s="21" t="str">
        <v>--统计数据库实例的个数
SELECT count(*) AS database_count FROM v$instance;</v>
      </c>
    </row>
    <row customHeight="true" ht="36" r="4">
      <c r="A4" s="20">
        <v>3</v>
      </c>
      <c r="B4" s="20" t="str">
        <v>用户个数</v>
      </c>
      <c r="C4" s="21"/>
      <c r="D4" s="21"/>
      <c r="E4" s="21" t="str" xml:space="preserve">
        <v>--统计用户个数（不含系统用户）
WITH busi_users AS(
        SELECT username FROM all_users 
         WHERE username &lt;&gt; 'XS$NULL'
           AND user_id &gt; (SELECT max(user_id) FROM all_users WHERE username IN ('SCOTT','OWBSYS','OWBSYS_AUDIT','APEX_030200','MGMT_VIEW','SYSMAN'))
)
SELECT count(*) AS user_cnt 
  FROM busi_users
; </v>
      </c>
    </row>
    <row customHeight="true" ht="85.73346303501945" r="5">
      <c r="A5" s="20">
        <v>4</v>
      </c>
      <c r="B5" s="31" t="str">
        <v>数据类型（当前连接的DB）</v>
      </c>
      <c r="C5" s="32"/>
      <c r="D5" s="32"/>
      <c r="E5" s="32" t="str">
        <v>--统计数据库实例的数据类型的使用情况
WITH busi_users AS(
        SELECT username FROM all_users 
         WHERE username &lt;&gt; 'XS$NULL'
           AND user_id &gt; (SELECT max(user_id) FROM all_users WHERE username IN ('SCOTT','OWBSYS','OWBSYS_AUDIT','APEX_030200','MGMT_VIEW','SYSMAN'))
)
SELECT DISTINCT t.data_type
  FROM all_tab_columns t, busi_users u
 WHERE t.owner = u.username
ORDER BY 1;</v>
      </c>
    </row>
    <row customHeight="true" ht="97.86390532544378" r="6">
      <c r="A6" s="20">
        <v>7</v>
      </c>
      <c r="B6" s="20" t="str">
        <v>序列个数（按schema分组）</v>
      </c>
      <c r="C6" s="21"/>
      <c r="D6" s="21"/>
      <c r="E6" s="21" t="str">
        <v>--按schema分组统计序列个数
WITH busi_users AS(
        SELECT username FROM all_users 
         WHERE username &lt;&gt; 'XS$NULL'
           AND user_id &gt; (SELECT max(user_id) FROM all_users WHERE username IN ('SCOTT','OWBSYS','OWBSYS_AUDIT','APEX_030200','MGMT_VIEW','SYSMAN'))
)
, w AS (
        SELECT t.sequence_owner AS schemaname,COUNT(*) AS sequence_cnt 
          FROM all_sequences t, busi_users u
         WHERE t.sequence_owner = u.username
         GROUP BY t.sequence_owner
)
SELECT * FROM w 
UNION ALL 
SELECT 'total-all' AS schemaname,sum(sequence_cnt) AS sequence_cnt FROM w 
ORDER BY 2 DESC, 1;</v>
      </c>
    </row>
    <row customHeight="true" ht="36" r="7">
      <c r="A7" s="20">
        <v>5</v>
      </c>
      <c r="B7" s="23" t="str">
        <v>表个数（按schema分组）</v>
      </c>
      <c r="C7" s="21"/>
      <c r="D7" s="21"/>
      <c r="E7" s="21" t="str">
        <v>--按schema分组查询表总个数、分区表个数、有主键/唯一约束的表个数
WITH busi_users AS(
        SELECT username FROM all_users 
         WHERE username &lt;&gt; 'XS$NULL'
           AND user_id &gt; (SELECT max(user_id) FROM all_users WHERE username IN ('SCOTT','OWBSYS','OWBSYS_AUDIT','APEX_030200','MGMT_VIEW','SYSMAN'))
)
, table_info AS (
        SELECT t.owner, t.table_name, 1 AS total_table_num, CASE WHEN t.partitioned = 'YES' THEN 1 ELSE 0 END AS part_table_num
          FROM all_tables t, busi_users t1
         WHERE t.owner = t1.username
)
, table_primary AS (
        SELECT uc.owner, uc.table_name, 1 AS primary_table
          FROM all_constraints uc, busi_users u
         WHERE uc.owner = u.username
           AND uc.constraint_type IN ('P', 'U') -- P表示主键约束，U表示唯一约束
         GROUP BY owner, uc.table_name
)
SELECT 'total-all' AS schemaname,sum(total_table_num) AS total_table_num, sum(part_table_num) AS part_table_num, sum(nvl(primary_table, 0)) AS primary_table
  FROM table_info t
  LEFT JOIN table_primary p
    ON t.owner = p.owner
   AND t.table_name = p.table_name
UNION all
SELECT t.owner AS schemaname, sum(total_table_num) AS total_table_num, sum(part_table_num) AS part_table_num, sum(nvl(primary_table, 0)) AS primary_table
  FROM table_info t
  LEFT JOIN table_primary p
    ON t.owner = p.owner
   AND t.table_name = p.table_name
 GROUP BY t.owner
ORDER BY 2 DESC, 1;</v>
      </c>
    </row>
    <row customHeight="true" ht="57.68402777777778" r="8">
      <c r="A8" s="20">
        <v>6</v>
      </c>
      <c r="B8" s="23" t="str">
        <v>数据量（按database分组）</v>
      </c>
      <c r="C8" s="21"/>
      <c r="D8" s="28"/>
      <c r="E8" s="21" t="str">
        <v>--按schema分组统计数据量大小，以MB、GB或TB为单位（不含系统自带的表）
WITH busi_users AS(
        SELECT username FROM all_users 
         WHERE username &lt;&gt; 'XS$NULL'
           AND user_id &gt; (SELECT max(user_id) FROM all_users WHERE username IN ('SCOTT','OWBSYS','OWBSYS_AUDIT','APEX_030200','MGMT_VIEW','SYSMAN'))
)
, w AS (
        SELECT t.owner AS schemaname,SUM(bytes) AS data_size,ROUND(SUM(bytes)/1024/1024,2) AS data_size_mb, ROUND(SUM(bytes)/1024/1024/1024,2) AS data_size_gb, ROUND(SUM(bytes)/1024/1024/1024/1024,2) AS data_size_tb
          FROM dba_segments t, busi_users u
         WHERE t.owner = u.username
         GROUP BY t.owner
)
SELECT * FROM w 
UNION ALL 
SELECT 'total-all' AS schemaname,sum(data_size) AS data_size,sum(data_size_mb) AS data_size_mb,sum(data_size_gb) AS data_size_gb,sum(data_size_tb) AS data_size_tb FROM w 
ORDER BY 2 DESC, 1;</v>
      </c>
    </row>
    <row customHeight="true" ht="91.01565557729941" r="9">
      <c r="A9" s="20">
        <v>8</v>
      </c>
      <c r="B9" s="27" t="str">
        <v>视图个数（按schema分组）</v>
      </c>
      <c r="C9" s="28"/>
      <c r="D9" s="28"/>
      <c r="E9" s="28" t="str">
        <v>--按schema分组统计视图个数
WITH busi_users AS(
        SELECT username FROM all_users 
         WHERE username &lt;&gt; 'XS$NULL'
           AND user_id &gt; (SELECT max(user_id) FROM all_users WHERE username IN ('SCOTT','OWBSYS','OWBSYS_AUDIT','APEX_030200','MGMT_VIEW','SYSMAN'))
)
, w AS (
    SELECT t.owner AS schemaname, COUNT(*) AS view_cnt
      FROM all_views t, busi_users u
     WHERE t.owner = u.username
     GROUP BY t.owner
)
SELECT * FROM w 
UNION ALL 
SELECT 'total-all' AS schemaname,sum(view_cnt) AS view_cnt FROM w 
ORDER BY 2 DESC, 1;</v>
      </c>
    </row>
    <row customHeight="true" ht="97.47937131630648" r="10">
      <c r="A10" s="20">
        <v>9</v>
      </c>
      <c r="B10" s="23" t="str">
        <v>函数个数（按schema分组）</v>
      </c>
      <c r="C10" s="21"/>
      <c r="D10" s="21"/>
      <c r="E10" s="21" t="str">
        <v>--按schema分组统计函数个数
WITH busi_users AS(
        SELECT username FROM all_users 
         WHERE username &lt;&gt; 'XS$NULL'
           AND user_id &gt; (SELECT max(user_id) FROM all_users WHERE username IN ('SCOTT','OWBSYS','OWBSYS_AUDIT','APEX_030200','MGMT_VIEW','SYSMAN'))
)
, w AS (
    SELECT t.owner AS schemaname, COUNT(*) AS function_cnt
      FROM all_objects t, busi_users u
     WHERE t.owner = u.username
       AND t.object_type = 'FUNCTION' 
     GROUP BY t.owner
)
SELECT * FROM w 
UNION ALL 
SELECT 'total-all' AS schemaname,sum(function_cnt) AS function_cnt FROM w 
ORDER BY 2 DESC, 1;</v>
      </c>
    </row>
    <row customHeight="true" ht="98.81437125748504" r="11">
      <c r="A11" s="20">
        <v>10</v>
      </c>
      <c r="B11" s="30" t="str">
        <v>存储过程个数（按schema分组）</v>
      </c>
      <c r="C11" s="28"/>
      <c r="D11" s="28"/>
      <c r="E11" s="28" t="str">
        <v>--按schema分组统计存储过程个数
WITH busi_users AS(
        SELECT username FROM all_users 
         WHERE username &lt;&gt; 'XS$NULL'
           AND user_id &gt; (SELECT max(user_id) FROM all_users WHERE username IN ('SCOTT','OWBSYS','OWBSYS_AUDIT','APEX_030200','MGMT_VIEW','SYSMAN'))
)
, w AS (
    SELECT t.owner AS schemaname, COUNT(*) AS procedure_cnt
    FROM all_objects t, busi_users u
    WHERE t.owner = u.username
     AND t.object_type = 'PROCEDURE'
    GROUP BY t.owner
)
SELECT * FROM w 
UNION ALL 
SELECT 'total-all' AS schemaname,sum(procedure_cnt) AS procedure_cnt FROM w 
ORDER BY 2 DESC, 1;</v>
      </c>
    </row>
    <row customHeight="true" ht="76.40828402366864" r="12">
      <c r="A12" s="20">
        <v>11</v>
      </c>
      <c r="B12" s="27" t="str">
        <v>同义词个数（按schema分组）</v>
      </c>
      <c r="C12" s="28"/>
      <c r="D12" s="28"/>
      <c r="E12" s="28" t="str">
        <v>--按schema分组统计同义词个数
WITH busi_users AS(
        SELECT username FROM all_users 
         WHERE username &lt;&gt; 'XS$NULL'
           AND user_id &gt; (SELECT max(user_id) FROM all_users WHERE username IN ('SCOTT','OWBSYS','OWBSYS_AUDIT','APEX_030200','MGMT_VIEW','SYSMAN'))
)
, w AS (
    SELECT t.table_owner AS schemaname, COUNT(*) AS synonyms_cnt 
      FROM all_synonyms t, busi_users u
     WHERE t.table_owner = u.username
     GROUP BY t.table_owner
)
SELECT * FROM w 
UNION ALL 
SELECT 'total-all' AS schemaname,sum(synonyms_cnt) AS synonyms_cnt FROM w 
ORDER BY 2 DESC, 1;</v>
      </c>
    </row>
    <row customHeight="true" ht="36" r="13">
      <c r="A13" s="20">
        <v>12</v>
      </c>
      <c r="B13" s="23" t="str">
        <v>存储包个数（按schema分组）</v>
      </c>
      <c r="C13" s="21"/>
      <c r="D13" s="21"/>
      <c r="E13" s="21" t="str">
        <v>--统计存储包个数，及其下过程/函数的个数
WITH busi_users AS(
        SELECT username FROM all_users 
         WHERE username &lt;&gt; 'XS$NULL'
           AND user_id &gt; (SELECT max(user_id) FROM all_users WHERE username IN ('SCOTT','OWBSYS','OWBSYS_AUDIT','APEX_030200','MGMT_VIEW','SYSMAN'))
)
, package_info AS (
        SELECT t.owner, COUNT(*) AS package_cnt
      FROM all_objects t, busi_users u
     WHERE t.owner = u.username
      AND t.object_type = 'PACKAGE'
     GROUP BY t.owner
)
, package_sub AS (
        SELECT t.owner,  COUNT(t.text) AS procedure_cnt
          FROM all_source t, busi_users u
         WHERE t.owner = u.username
           AND t.type = 'PACKAGE'
           AND (t.text LIKE '%PROCEDURE%' OR t.text LIKE '%FUNCTION%')
         GROUP BY t.owner
)  
SELECT t.owner AS schemaname, t.package_cnt, t1.procedure_cnt 
FROM package_info t, package_sub t1
 WHERE t.owner = t1.owner
UNION ALL 
SELECT 'total-all' AS schemaname,sum(package_cnt) AS package_cnt, sum(procedure_cnt) AS procedure_cnt
FROM package_info t, package_sub t1
 WHERE t.owner = t1.owner
ORDER BY 2 DESC, 1;</v>
      </c>
    </row>
    <row customHeight="true" ht="36" r="14">
      <c r="A14" s="19"/>
      <c r="B14" s="19"/>
    </row>
    <row customHeight="true" ht="36" r="15">
      <c r="A15" s="19"/>
      <c r="B15" s="19"/>
    </row>
    <row customHeight="true" ht="36" r="16">
      <c r="A16" s="19"/>
      <c r="B16" s="19"/>
    </row>
    <row customHeight="true" ht="36" r="17">
      <c r="A17" s="19"/>
      <c r="B17" s="19"/>
    </row>
    <row customHeight="true" ht="36" r="18">
      <c r="A18" s="19"/>
      <c r="B18" s="19"/>
    </row>
    <row customHeight="true" ht="36" r="19">
      <c r="A19" s="19"/>
      <c r="B19" s="19"/>
    </row>
    <row customHeight="true" ht="36" r="20">
      <c r="A20" s="19"/>
      <c r="B20" s="19"/>
    </row>
    <row customHeight="true" ht="36" r="21">
      <c r="A21" s="19"/>
      <c r="B21" s="19"/>
    </row>
    <row customHeight="true" ht="36" r="22">
      <c r="A22" s="19"/>
      <c r="B22" s="19"/>
    </row>
    <row customHeight="true" ht="36" r="23">
      <c r="A23" s="19"/>
      <c r="B23" s="19"/>
    </row>
    <row customHeight="true" ht="36" r="24">
      <c r="A24" s="19"/>
      <c r="B24" s="19"/>
    </row>
    <row customHeight="true" ht="36" r="25">
      <c r="A25" s="19"/>
      <c r="B25" s="19"/>
    </row>
    <row customHeight="true" ht="36" r="26">
      <c r="A26" s="19"/>
      <c r="B26" s="19"/>
    </row>
    <row customHeight="true" ht="36" r="27">
      <c r="A27" s="19"/>
      <c r="B27" s="19"/>
    </row>
    <row customHeight="true" ht="36" r="28">
      <c r="A28" s="19"/>
      <c r="B28" s="19"/>
    </row>
    <row customHeight="true" ht="36" r="29">
      <c r="A29" s="19"/>
      <c r="B29" s="19"/>
    </row>
    <row customHeight="true" ht="36" r="30">
      <c r="A30" s="19"/>
      <c r="B30" s="19"/>
    </row>
    <row customHeight="true" ht="36" r="31">
      <c r="A31" s="19"/>
      <c r="B31" s="19"/>
    </row>
    <row customHeight="true" ht="36" r="32">
      <c r="A32" s="19"/>
      <c r="B32" s="19"/>
    </row>
    <row customHeight="true" ht="36" r="33">
      <c r="A33" s="19"/>
      <c r="B33" s="19"/>
    </row>
    <row customHeight="true" ht="36" r="34">
      <c r="A34" s="19"/>
      <c r="B34" s="19"/>
    </row>
    <row customHeight="true" ht="36" r="35">
      <c r="A35" s="19"/>
      <c r="B35" s="19"/>
    </row>
    <row customHeight="true" ht="36" r="36">
      <c r="A36" s="19"/>
      <c r="B36" s="19"/>
    </row>
    <row customHeight="true" ht="36" r="37">
      <c r="A37" s="19"/>
      <c r="B37" s="19"/>
    </row>
    <row customHeight="true" ht="36" r="38">
      <c r="A38" s="19"/>
      <c r="B38" s="19"/>
    </row>
    <row customHeight="true" ht="36" r="39">
      <c r="A39" s="19"/>
      <c r="B39" s="19"/>
    </row>
    <row customHeight="true" ht="36" r="40">
      <c r="A40" s="19"/>
      <c r="B40" s="19"/>
    </row>
    <row customHeight="true" ht="36" r="41">
      <c r="A41" s="19"/>
      <c r="B41" s="19"/>
    </row>
    <row customHeight="true" ht="36" r="42">
      <c r="A42" s="19"/>
      <c r="B42" s="19"/>
    </row>
    <row customHeight="true" ht="36" r="43">
      <c r="A43" s="19"/>
      <c r="B43" s="19"/>
    </row>
    <row customHeight="true" ht="36" r="44">
      <c r="A44" s="19"/>
      <c r="B44" s="19"/>
    </row>
    <row customHeight="true" ht="36" r="45">
      <c r="A45" s="19"/>
      <c r="B45" s="19"/>
    </row>
    <row customHeight="true" ht="36" r="46">
      <c r="A46" s="19"/>
      <c r="B46" s="19"/>
    </row>
    <row customHeight="true" ht="36" r="47">
      <c r="A47" s="19"/>
      <c r="B47" s="19"/>
    </row>
    <row customHeight="true" ht="36" r="48">
      <c r="A48" s="19"/>
      <c r="B48" s="19"/>
    </row>
    <row customHeight="true" ht="36" r="49">
      <c r="A49" s="19"/>
      <c r="B49" s="19"/>
    </row>
    <row customHeight="true" ht="36" r="50">
      <c r="A50" s="19"/>
      <c r="B50" s="19"/>
    </row>
    <row customHeight="true" ht="36" r="51">
      <c r="A51" s="19"/>
      <c r="B51" s="19"/>
    </row>
    <row customHeight="true" ht="36" r="52">
      <c r="A52" s="19"/>
      <c r="B52" s="19"/>
    </row>
    <row customHeight="true" ht="36" r="53">
      <c r="A53" s="19"/>
      <c r="B53" s="19"/>
    </row>
    <row customHeight="true" ht="36" r="54">
      <c r="A54" s="19"/>
      <c r="B54" s="19"/>
    </row>
    <row customHeight="true" ht="36" r="55">
      <c r="A55" s="19"/>
      <c r="B55" s="19"/>
    </row>
    <row customHeight="true" ht="36" r="56">
      <c r="A56" s="19"/>
      <c r="B56" s="19"/>
    </row>
    <row customHeight="true" ht="36" r="57">
      <c r="A57" s="19"/>
      <c r="B57" s="19"/>
    </row>
    <row customHeight="true" ht="36" r="58">
      <c r="A58" s="19"/>
      <c r="B58" s="19"/>
    </row>
    <row customHeight="true" ht="36" r="59">
      <c r="A59" s="19"/>
      <c r="B59" s="19"/>
    </row>
    <row customHeight="true" ht="36" r="60">
      <c r="A60" s="19"/>
      <c r="B60" s="19"/>
    </row>
    <row customHeight="true" ht="36" r="61">
      <c r="A61" s="19"/>
      <c r="B61" s="19"/>
    </row>
    <row customHeight="true" ht="36" r="62">
      <c r="A62" s="19"/>
      <c r="B62" s="19"/>
    </row>
    <row customHeight="true" ht="36" r="63">
      <c r="A63" s="19"/>
      <c r="B63" s="19"/>
    </row>
    <row customHeight="true" ht="36" r="64">
      <c r="A64" s="19"/>
      <c r="B64" s="19"/>
    </row>
    <row customHeight="true" ht="36" r="65">
      <c r="A65" s="19"/>
      <c r="B65" s="19"/>
    </row>
    <row customHeight="true" ht="36" r="66">
      <c r="A66" s="19"/>
      <c r="B66" s="19"/>
    </row>
    <row customHeight="true" ht="36" r="67">
      <c r="A67" s="19"/>
      <c r="B67" s="19"/>
    </row>
    <row customHeight="true" ht="36" r="68">
      <c r="A68" s="19"/>
      <c r="B68" s="19"/>
    </row>
    <row customHeight="true" ht="36" r="69">
      <c r="A69" s="19"/>
      <c r="B69" s="19"/>
    </row>
    <row customHeight="true" ht="36" r="70">
      <c r="A70" s="19"/>
      <c r="B70" s="19"/>
    </row>
    <row customHeight="true" ht="36" r="71">
      <c r="A71" s="19"/>
      <c r="B71" s="19"/>
    </row>
    <row customHeight="true" ht="36" r="72">
      <c r="A72" s="19"/>
      <c r="B72" s="19"/>
    </row>
    <row customHeight="true" ht="36" r="73">
      <c r="A73" s="19"/>
      <c r="B73" s="19"/>
    </row>
    <row customHeight="true" ht="36" r="74">
      <c r="A74" s="19"/>
      <c r="B74" s="19"/>
    </row>
    <row customHeight="true" ht="36" r="75">
      <c r="A75" s="19"/>
      <c r="B75" s="19"/>
    </row>
    <row customHeight="true" ht="36" r="76">
      <c r="A76" s="19"/>
      <c r="B76" s="19"/>
    </row>
    <row customHeight="true" ht="36" r="77">
      <c r="A77" s="19"/>
      <c r="B77" s="19"/>
    </row>
    <row customHeight="true" ht="36" r="78">
      <c r="A78" s="19"/>
      <c r="B78" s="19"/>
    </row>
    <row customHeight="true" ht="36" r="79">
      <c r="A79" s="19"/>
      <c r="B79" s="19"/>
    </row>
    <row customHeight="true" ht="36" r="80">
      <c r="A80" s="19"/>
      <c r="B80" s="19"/>
    </row>
    <row customHeight="true" ht="36" r="81">
      <c r="A81" s="19"/>
      <c r="B81" s="19"/>
    </row>
    <row customHeight="true" ht="36" r="82">
      <c r="A82" s="19"/>
      <c r="B82" s="19"/>
    </row>
    <row customHeight="true" ht="36" r="83">
      <c r="A83" s="19"/>
      <c r="B83" s="19"/>
    </row>
    <row customHeight="true" ht="36" r="84">
      <c r="A84" s="19"/>
      <c r="B84" s="19"/>
    </row>
    <row customHeight="true" ht="36" r="85">
      <c r="A85" s="19"/>
      <c r="B85" s="19"/>
    </row>
    <row customHeight="true" ht="36" r="86">
      <c r="A86" s="19"/>
      <c r="B86" s="19"/>
    </row>
    <row customHeight="true" ht="36" r="87">
      <c r="A87" s="19"/>
      <c r="B87" s="19"/>
    </row>
    <row customHeight="true" ht="36" r="88">
      <c r="A88" s="19"/>
      <c r="B88" s="19"/>
    </row>
    <row customHeight="true" ht="36" r="89">
      <c r="A89" s="19"/>
      <c r="B89" s="19"/>
    </row>
    <row customHeight="true" ht="36" r="90">
      <c r="A90" s="19"/>
      <c r="B90" s="19"/>
    </row>
    <row customHeight="true" ht="36" r="91">
      <c r="A91" s="19"/>
      <c r="B91" s="19"/>
    </row>
    <row customHeight="true" ht="36" r="92">
      <c r="A92" s="19"/>
      <c r="B92" s="19"/>
    </row>
    <row customHeight="true" ht="36" r="93">
      <c r="A93" s="19"/>
      <c r="B93" s="19"/>
    </row>
    <row customHeight="true" ht="36" r="94">
      <c r="A94" s="19"/>
      <c r="B94" s="19"/>
    </row>
    <row customHeight="true" ht="36" r="95">
      <c r="A95" s="19"/>
      <c r="B95" s="19"/>
    </row>
    <row customHeight="true" ht="36" r="96">
      <c r="A96" s="19"/>
      <c r="B96" s="19"/>
    </row>
    <row customHeight="true" ht="36" r="97">
      <c r="A97" s="19"/>
      <c r="B97" s="19"/>
    </row>
    <row customHeight="true" ht="36" r="98">
      <c r="A98" s="19"/>
      <c r="B98" s="19"/>
    </row>
    <row customHeight="true" ht="36" r="99">
      <c r="A99" s="19"/>
      <c r="B99" s="19"/>
    </row>
    <row customHeight="true" ht="36" r="100">
      <c r="A100" s="19"/>
      <c r="B100" s="19"/>
    </row>
    <row customHeight="true" ht="36" r="101">
      <c r="A101" s="19"/>
      <c r="B101" s="19"/>
    </row>
    <row customHeight="true" ht="36" r="102">
      <c r="A102" s="19"/>
      <c r="B102" s="19"/>
    </row>
    <row customHeight="true" ht="36" r="103">
      <c r="A103" s="19"/>
      <c r="B103" s="19"/>
    </row>
    <row customHeight="true" ht="36" r="104">
      <c r="A104" s="19"/>
      <c r="B104" s="19"/>
    </row>
    <row customHeight="true" ht="36" r="105">
      <c r="A105" s="19"/>
      <c r="B105" s="19"/>
    </row>
    <row customHeight="true" ht="36" r="106">
      <c r="A106" s="19"/>
      <c r="B106" s="19"/>
    </row>
    <row customHeight="true" ht="36" r="107">
      <c r="A107" s="19"/>
      <c r="B107" s="19"/>
    </row>
    <row customHeight="true" ht="36" r="108">
      <c r="A108" s="19"/>
      <c r="B108" s="19"/>
    </row>
    <row customHeight="true" ht="36" r="109">
      <c r="A109" s="19"/>
      <c r="B109" s="19"/>
    </row>
    <row customHeight="true" ht="36" r="110">
      <c r="A110" s="19"/>
      <c r="B110" s="19"/>
    </row>
    <row customHeight="true" ht="36" r="111">
      <c r="A111" s="19"/>
      <c r="B111" s="19"/>
    </row>
    <row customHeight="true" ht="36" r="112">
      <c r="A112" s="19"/>
      <c r="B112" s="19"/>
    </row>
    <row customHeight="true" ht="36" r="113">
      <c r="A113" s="19"/>
      <c r="B113" s="19"/>
    </row>
    <row customHeight="true" ht="36" r="114">
      <c r="A114" s="19"/>
      <c r="B114" s="19"/>
    </row>
    <row customHeight="true" ht="36" r="115">
      <c r="A115" s="19"/>
      <c r="B115" s="19"/>
    </row>
    <row customHeight="true" ht="36" r="116">
      <c r="A116" s="19"/>
      <c r="B116" s="19"/>
    </row>
    <row customHeight="true" ht="36" r="117">
      <c r="A117" s="19"/>
      <c r="B117" s="19"/>
    </row>
    <row customHeight="true" ht="36" r="118">
      <c r="A118" s="19"/>
      <c r="B118" s="19"/>
    </row>
    <row customHeight="true" ht="36" r="119">
      <c r="A119" s="19"/>
      <c r="B119" s="19"/>
    </row>
    <row customHeight="true" ht="36" r="120">
      <c r="A120" s="19"/>
      <c r="B120" s="19"/>
    </row>
    <row customHeight="true" ht="36" r="121">
      <c r="A121" s="19"/>
      <c r="B121" s="19"/>
    </row>
    <row customHeight="true" ht="36" r="122">
      <c r="A122" s="19"/>
      <c r="B122" s="19"/>
    </row>
    <row customHeight="true" ht="36" r="123">
      <c r="A123" s="19"/>
      <c r="B123" s="19"/>
    </row>
    <row customHeight="true" ht="36" r="124">
      <c r="A124" s="19"/>
      <c r="B124" s="19"/>
    </row>
    <row customHeight="true" ht="36" r="125">
      <c r="A125" s="19"/>
      <c r="B125" s="19"/>
    </row>
    <row customHeight="true" ht="36" r="126">
      <c r="A126" s="19"/>
      <c r="B126" s="19"/>
    </row>
    <row customHeight="true" ht="36" r="127">
      <c r="A127" s="19"/>
      <c r="B127" s="19"/>
    </row>
    <row customHeight="true" ht="36" r="128">
      <c r="A128" s="19"/>
      <c r="B128" s="19"/>
    </row>
    <row customHeight="true" ht="36" r="129">
      <c r="A129" s="19"/>
      <c r="B129" s="19"/>
    </row>
    <row customHeight="true" ht="36" r="130">
      <c r="A130" s="19"/>
      <c r="B130" s="19"/>
    </row>
    <row customHeight="true" ht="36" r="131">
      <c r="A131" s="19"/>
      <c r="B131" s="19"/>
    </row>
    <row customHeight="true" ht="36" r="132">
      <c r="A132" s="19"/>
      <c r="B132" s="19"/>
    </row>
    <row customHeight="true" ht="36" r="133">
      <c r="A133" s="19"/>
      <c r="B133" s="19"/>
    </row>
    <row customHeight="true" ht="36" r="134">
      <c r="A134" s="19"/>
      <c r="B134" s="19"/>
    </row>
    <row customHeight="true" ht="36" r="135">
      <c r="A135" s="19"/>
      <c r="B135" s="19"/>
    </row>
    <row customHeight="true" ht="36" r="136">
      <c r="A136" s="19"/>
      <c r="B136" s="19"/>
    </row>
    <row customHeight="true" ht="36" r="137">
      <c r="A137" s="19"/>
      <c r="B137" s="19"/>
    </row>
    <row customHeight="true" ht="36" r="138">
      <c r="A138" s="19"/>
      <c r="B138" s="19"/>
    </row>
    <row customHeight="true" ht="36" r="139">
      <c r="A139" s="19"/>
      <c r="B139" s="19"/>
    </row>
    <row customHeight="true" ht="36" r="140">
      <c r="A140" s="19"/>
      <c r="B140" s="19"/>
    </row>
    <row customHeight="true" ht="36" r="141">
      <c r="A141" s="19"/>
      <c r="B141" s="19"/>
    </row>
    <row customHeight="true" ht="36" r="142">
      <c r="A142" s="19"/>
      <c r="B142" s="19"/>
    </row>
    <row customHeight="true" ht="36" r="143">
      <c r="A143" s="19"/>
      <c r="B143" s="19"/>
    </row>
    <row customHeight="true" ht="36" r="144">
      <c r="A144" s="19"/>
      <c r="B144" s="19"/>
    </row>
    <row customHeight="true" ht="36" r="145">
      <c r="A145" s="19"/>
      <c r="B145" s="19"/>
    </row>
    <row customHeight="true" ht="36" r="146">
      <c r="A146" s="19"/>
      <c r="B146" s="19"/>
    </row>
    <row customHeight="true" ht="36" r="147">
      <c r="A147" s="19"/>
      <c r="B147" s="19"/>
    </row>
    <row customHeight="true" ht="36" r="148">
      <c r="A148" s="19"/>
      <c r="B148" s="19"/>
    </row>
    <row customHeight="true" ht="36" r="149">
      <c r="A149" s="19"/>
      <c r="B149" s="19"/>
    </row>
    <row customHeight="true" ht="36" r="150">
      <c r="A150" s="19"/>
      <c r="B150" s="19"/>
    </row>
    <row customHeight="true" ht="36" r="151">
      <c r="A151" s="19"/>
      <c r="B151" s="19"/>
    </row>
    <row customHeight="true" ht="36" r="152">
      <c r="A152" s="19"/>
      <c r="B152" s="19"/>
    </row>
    <row customHeight="true" ht="36" r="153">
      <c r="A153" s="19"/>
      <c r="B153" s="19"/>
    </row>
    <row customHeight="true" ht="36" r="154">
      <c r="A154" s="19"/>
      <c r="B154" s="19"/>
    </row>
    <row customHeight="true" ht="36" r="155">
      <c r="A155" s="19"/>
      <c r="B155" s="19"/>
    </row>
    <row customHeight="true" ht="36" r="156">
      <c r="A156" s="19"/>
      <c r="B156" s="19"/>
    </row>
    <row customHeight="true" ht="36" r="157">
      <c r="A157" s="19"/>
      <c r="B157" s="19"/>
    </row>
    <row customHeight="true" ht="36" r="158">
      <c r="A158" s="19"/>
      <c r="B158" s="19"/>
    </row>
    <row customHeight="true" ht="36" r="159">
      <c r="A159" s="19"/>
      <c r="B159" s="19"/>
    </row>
    <row customHeight="true" ht="36" r="160">
      <c r="A160" s="19"/>
      <c r="B160" s="19"/>
    </row>
    <row customHeight="true" ht="36" r="161">
      <c r="A161" s="19"/>
      <c r="B161" s="19"/>
    </row>
    <row customHeight="true" ht="36" r="162">
      <c r="A162" s="19"/>
      <c r="B162" s="19"/>
    </row>
    <row customHeight="true" ht="36" r="163">
      <c r="A163" s="19"/>
      <c r="B163" s="19"/>
    </row>
    <row customHeight="true" ht="36" r="164">
      <c r="A164" s="19"/>
      <c r="B164" s="19"/>
    </row>
    <row customHeight="true" ht="36" r="165">
      <c r="A165" s="19"/>
      <c r="B165" s="19"/>
    </row>
    <row customHeight="true" ht="36" r="166">
      <c r="A166" s="19"/>
      <c r="B166" s="19"/>
    </row>
    <row customHeight="true" ht="36" r="167">
      <c r="A167" s="19"/>
      <c r="B167" s="19"/>
    </row>
    <row customHeight="true" ht="36" r="168">
      <c r="A168" s="19"/>
      <c r="B168" s="19"/>
    </row>
    <row customHeight="true" ht="36" r="169">
      <c r="A169" s="19"/>
      <c r="B169" s="19"/>
    </row>
    <row customHeight="true" ht="36" r="170">
      <c r="A170" s="19"/>
      <c r="B170" s="19"/>
    </row>
    <row customHeight="true" ht="36" r="171">
      <c r="A171" s="19"/>
      <c r="B171" s="19"/>
    </row>
    <row customHeight="true" ht="36" r="172">
      <c r="A172" s="19"/>
      <c r="B172" s="19"/>
    </row>
    <row customHeight="true" ht="36" r="173">
      <c r="A173" s="19"/>
      <c r="B173" s="19"/>
    </row>
    <row customHeight="true" ht="36" r="174">
      <c r="A174" s="19"/>
      <c r="B174" s="19"/>
    </row>
    <row customHeight="true" ht="36" r="175">
      <c r="A175" s="19"/>
      <c r="B175" s="19"/>
    </row>
    <row customHeight="true" ht="36" r="176">
      <c r="A176" s="19"/>
      <c r="B176" s="19"/>
    </row>
    <row customHeight="true" ht="36" r="177">
      <c r="A177" s="19"/>
      <c r="B177" s="19"/>
    </row>
    <row customHeight="true" ht="36" r="178">
      <c r="A178" s="19"/>
      <c r="B178" s="19"/>
    </row>
    <row customHeight="true" ht="36" r="179">
      <c r="A179" s="19"/>
      <c r="B179" s="19"/>
    </row>
    <row customHeight="true" ht="36" r="180">
      <c r="A180" s="19"/>
      <c r="B180" s="19"/>
    </row>
    <row customHeight="true" ht="36" r="181">
      <c r="A181" s="19"/>
      <c r="B181" s="19"/>
    </row>
    <row customHeight="true" ht="36" r="182">
      <c r="A182" s="19"/>
      <c r="B182" s="19"/>
    </row>
    <row customHeight="true" ht="36" r="183">
      <c r="A183" s="19"/>
      <c r="B183" s="19"/>
    </row>
    <row customHeight="true" ht="36" r="184">
      <c r="A184" s="19"/>
      <c r="B184" s="19"/>
    </row>
    <row customHeight="true" ht="36" r="185">
      <c r="A185" s="19"/>
      <c r="B185" s="19"/>
    </row>
    <row customHeight="true" ht="36" r="186">
      <c r="A186" s="19"/>
      <c r="B186" s="19"/>
    </row>
    <row customHeight="true" ht="36" r="187">
      <c r="A187" s="19"/>
      <c r="B187" s="19"/>
    </row>
    <row customHeight="true" ht="36" r="188">
      <c r="A188" s="19"/>
      <c r="B188" s="19"/>
    </row>
    <row customHeight="true" ht="36" r="189">
      <c r="A189" s="19"/>
      <c r="B189" s="19"/>
    </row>
    <row customHeight="true" ht="36" r="190">
      <c r="A190" s="19"/>
      <c r="B190" s="19"/>
    </row>
    <row customHeight="true" ht="36" r="191">
      <c r="A191" s="19"/>
      <c r="B191" s="19"/>
    </row>
    <row customHeight="true" ht="36" r="192">
      <c r="A192" s="19"/>
      <c r="B192" s="19"/>
    </row>
    <row customHeight="true" ht="36" r="193">
      <c r="A193" s="19"/>
      <c r="B193" s="19"/>
    </row>
    <row customHeight="true" ht="36" r="194">
      <c r="A194" s="19"/>
      <c r="B194" s="19"/>
    </row>
    <row customHeight="true" ht="36" r="195">
      <c r="A195" s="19"/>
      <c r="B195" s="19"/>
    </row>
    <row customHeight="true" ht="36" r="196">
      <c r="A196" s="19"/>
      <c r="B196" s="19"/>
    </row>
    <row customHeight="true" ht="36" r="197">
      <c r="A197" s="19"/>
      <c r="B197" s="19"/>
    </row>
    <row customHeight="true" ht="36" r="198">
      <c r="A198" s="19"/>
      <c r="B198" s="19"/>
    </row>
    <row customHeight="true" ht="36" r="199">
      <c r="A199" s="19"/>
      <c r="B199" s="19"/>
    </row>
  </sheetData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5" xSplit="3" ySplit="4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3"/>
    <col collapsed="false" customWidth="true" hidden="false" max="3" min="3" style="0" width="13"/>
    <col collapsed="false" customWidth="true" hidden="false" max="4" min="4" style="0" width="82"/>
    <col collapsed="false" customWidth="true" hidden="false" max="5" min="5" style="0" width="6"/>
    <col collapsed="false" customWidth="true" hidden="false" max="6" min="6" style="0" width="26"/>
    <col collapsed="false" customWidth="true" hidden="false" max="7" min="7" style="0" width="46"/>
    <col collapsed="false" customWidth="true" hidden="false" max="8" min="8" style="0" width="46"/>
    <col collapsed="false" customWidth="true" hidden="false" max="9" min="9" style="0" width="6"/>
    <col collapsed="false" customWidth="true" hidden="false" max="10" min="10" style="0" width="26"/>
    <col collapsed="false" customWidth="true" hidden="false" max="11" min="11" style="0" width="6"/>
    <col collapsed="false" customWidth="true" hidden="false" max="12" min="12" style="0" width="26"/>
    <col collapsed="false" customWidth="true" hidden="false" max="13" min="13" style="0" width="6"/>
    <col collapsed="false" customWidth="true" hidden="false" max="14" min="14" style="0" width="26"/>
    <col collapsed="false" customWidth="true" hidden="false" max="15" min="15" style="0" width="6"/>
    <col collapsed="false" customWidth="true" hidden="false" max="16" min="16" style="0" width="6"/>
    <col collapsed="false" customWidth="true" hidden="false" max="17" min="17" style="0" width="6"/>
    <col collapsed="false" customWidth="true" hidden="false" max="18" min="18" style="0" width="6"/>
    <col collapsed="false" customWidth="true" hidden="false" max="19" min="19" style="0" width="4"/>
    <col collapsed="false" customWidth="true" hidden="false" max="20" min="20" style="0" width="4"/>
    <col collapsed="false" customWidth="true" hidden="false" max="21" min="21" style="0" width="4"/>
    <col collapsed="false" customWidth="true" hidden="false" max="22" min="22" style="0" width="4"/>
    <col collapsed="false" customWidth="true" hidden="false" max="23" min="23" style="0" width="4"/>
    <col collapsed="false" customWidth="true" hidden="false" max="24" min="24" style="0" width="4"/>
    <col collapsed="false" customWidth="true" hidden="false" max="25" min="25" style="0" width="4"/>
    <col collapsed="false" customWidth="true" hidden="false" max="26" min="26" style="0" width="4"/>
    <col collapsed="false" customWidth="true" hidden="false" max="27" min="27" style="0" width="4"/>
    <col collapsed="false" customWidth="true" hidden="false" max="28" min="28" style="0" width="4"/>
    <col collapsed="false" customWidth="true" hidden="false" max="29" min="29" style="0" width="4"/>
    <col collapsed="false" customWidth="true" hidden="false" max="30" min="30" style="0" width="4"/>
    <col collapsed="false" customWidth="true" hidden="false" max="31" min="31" style="0" width="4"/>
    <col collapsed="false" customWidth="true" hidden="false" max="32" min="32" style="0" width="4"/>
    <col collapsed="false" customWidth="true" hidden="false" max="33" min="33" style="0" width="4"/>
    <col collapsed="false" customWidth="true" hidden="false" max="34" min="34" style="0" width="4"/>
    <col collapsed="false" customWidth="true" hidden="false" max="35" min="35" style="0" width="4"/>
    <col collapsed="false" customWidth="true" hidden="false" max="36" min="36" style="0" width="4"/>
  </cols>
  <sheetData>
    <row r="1">
      <c r="A1" s="42" t="str">
        <v>数仓迁移工作量评估：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</row>
    <row r="2">
      <c r="A2" s="4" t="str">
        <v>序号</v>
      </c>
      <c r="B2" s="4" t="str">
        <v>项目里程碑</v>
      </c>
      <c r="C2" s="4" t="str">
        <v>项目阶段</v>
      </c>
      <c r="D2" s="4" t="str">
        <v>工作内容</v>
      </c>
      <c r="E2" s="4" t="str">
        <v>工作量预估（人月）</v>
      </c>
      <c r="F2" s="4"/>
      <c r="G2" s="4"/>
      <c r="H2" s="4"/>
      <c r="I2" s="4"/>
      <c r="J2" s="4"/>
      <c r="K2" s="4"/>
      <c r="L2" s="4"/>
      <c r="M2" s="4"/>
      <c r="N2" s="4"/>
      <c r="O2" s="4" t="str">
        <v>项目计划（时间、人数）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4"/>
      <c r="B3" s="4"/>
      <c r="C3" s="4"/>
      <c r="D3" s="4"/>
      <c r="E3" s="4" t="str">
        <v>工作量评估</v>
      </c>
      <c r="F3" s="4"/>
      <c r="G3" s="4" t="str">
        <v>评估说明（🚨仅限内部使用）</v>
      </c>
      <c r="H3" s="4"/>
      <c r="I3" s="3" t="str">
        <v>评估参考示例
（某保险公司GP5）</v>
      </c>
      <c r="J3" s="3"/>
      <c r="K3" s="3" t="str">
        <v>评估参考示例
（某基金公司一期）</v>
      </c>
      <c r="L3" s="3"/>
      <c r="M3" s="3" t="str">
        <v>评估参考示例
人月试算（某交易所GP5）</v>
      </c>
      <c r="N3" s="3"/>
      <c r="O3" s="4" t="str">
        <v>计划汇总
（示例：某保险公司）</v>
      </c>
      <c r="P3" s="4"/>
      <c r="Q3" s="4"/>
      <c r="R3" s="4"/>
      <c r="S3" s="4" t="str">
        <v>计划明细
（示例：某保险公司）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4"/>
      <c r="B4" s="4"/>
      <c r="C4" s="4"/>
      <c r="D4" s="4"/>
      <c r="E4" s="4" t="str">
        <v>人月</v>
      </c>
      <c r="F4" s="4" t="str">
        <v>备注</v>
      </c>
      <c r="G4" s="4" t="str">
        <v>评估建议（参考）</v>
      </c>
      <c r="H4" s="4" t="str">
        <v>风险提示</v>
      </c>
      <c r="I4" s="3" t="str">
        <v>人月</v>
      </c>
      <c r="J4" s="3" t="str">
        <v>备注</v>
      </c>
      <c r="K4" s="3" t="str">
        <v>人月</v>
      </c>
      <c r="L4" s="3" t="str">
        <v>备注</v>
      </c>
      <c r="M4" s="3" t="str">
        <v>人月</v>
      </c>
      <c r="N4" s="3" t="str">
        <v>备注</v>
      </c>
      <c r="O4" s="4" t="str">
        <v>时间
(周)</v>
      </c>
      <c r="P4" s="4" t="str">
        <v>人数</v>
      </c>
      <c r="Q4" s="4" t="str">
        <v>人周</v>
      </c>
      <c r="R4" s="4" t="str">
        <v>人月</v>
      </c>
      <c r="S4" s="4" t="str">
        <v>第1个月</v>
      </c>
      <c r="T4" s="4" t="str">
        <v>第2个月</v>
      </c>
      <c r="U4" s="4" t="str">
        <v>第3个月</v>
      </c>
      <c r="V4" s="4" t="str">
        <v>第4个月</v>
      </c>
      <c r="W4" s="4" t="str">
        <v>第5个月</v>
      </c>
      <c r="X4" s="4" t="str">
        <v>第6个月</v>
      </c>
      <c r="Y4" s="4" t="str">
        <v>第7个月</v>
      </c>
      <c r="Z4" s="4" t="str">
        <v>第8个月</v>
      </c>
      <c r="AA4" s="4" t="str">
        <v>第9个月</v>
      </c>
      <c r="AB4" s="4" t="str">
        <v>第10个月</v>
      </c>
      <c r="AC4" s="4" t="str">
        <v>第11个月</v>
      </c>
      <c r="AD4" s="4" t="str">
        <v>第12个月</v>
      </c>
      <c r="AE4" s="4" t="str">
        <v>第13个月</v>
      </c>
      <c r="AF4" s="4" t="str">
        <v>第14个月</v>
      </c>
      <c r="AG4" s="4" t="str">
        <v>第15个月</v>
      </c>
      <c r="AH4" s="4" t="str">
        <v>第16个月</v>
      </c>
      <c r="AI4" s="4" t="str">
        <v>第17个月</v>
      </c>
      <c r="AJ4" s="4" t="str">
        <v>第18个月</v>
      </c>
    </row>
    <row r="5">
      <c r="A5" s="45">
        <v>1</v>
      </c>
      <c r="B5" s="45" t="str">
        <v>产品交付部署</v>
      </c>
      <c r="C5" s="45" t="str">
        <v>环境信息调研</v>
      </c>
      <c r="D5" s="43" t="str">
        <v>调研硬件、网络、操作系统等基础信息，以及工作机情况（需要远程访问）</v>
      </c>
      <c r="E5" s="43"/>
      <c r="F5" s="43"/>
      <c r="G5" s="43" t="str">
        <v>一般由原厂交付团队负责集群规划、安装部署。
10节点以内：1-2周，建议1-2人
10-30节点：2-3周，建议2-3人
30-50节点：3-5周，建议3-5人
50节点以上：另行评估</v>
      </c>
      <c r="H5" s="43"/>
      <c r="I5" s="43">
        <f>5/5/4</f>
      </c>
      <c r="J5" s="43" t="str">
        <v>1周1人</v>
      </c>
      <c r="K5" s="43">
        <f>3/5/4</f>
      </c>
      <c r="L5" s="43" t="str">
        <v>3天1人</v>
      </c>
      <c r="M5" s="43">
        <f>5/5/4</f>
      </c>
      <c r="N5" s="43" t="str">
        <v>1周1人</v>
      </c>
      <c r="O5" s="43">
        <v>1</v>
      </c>
      <c r="P5" s="43">
        <v>1</v>
      </c>
      <c r="Q5" s="43">
        <f>O5*P5</f>
      </c>
      <c r="R5" s="43">
        <f>SUM(Q5:Q8)/4</f>
      </c>
      <c r="S5" s="44">
        <v>1</v>
      </c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</row>
    <row r="6">
      <c r="A6" s="45">
        <v>2</v>
      </c>
      <c r="B6" s="45"/>
      <c r="C6" s="45" t="str">
        <v>集群部署规划</v>
      </c>
      <c r="D6" s="43" t="str">
        <v>设计和规划新集群的部署架构，包括IP、端口、磁盘等。</v>
      </c>
      <c r="E6" s="43"/>
      <c r="F6" s="43"/>
      <c r="G6" s="43"/>
      <c r="H6" s="43"/>
      <c r="I6" s="43">
        <f>5/5/4</f>
      </c>
      <c r="J6" s="43" t="str">
        <v>1周1人</v>
      </c>
      <c r="K6" s="43">
        <f>3/5/4</f>
      </c>
      <c r="L6" s="43" t="str">
        <v>3天1人</v>
      </c>
      <c r="M6" s="43">
        <f>5/5/4</f>
      </c>
      <c r="N6" s="43" t="str">
        <v>1周1人</v>
      </c>
      <c r="O6" s="43">
        <v>1</v>
      </c>
      <c r="P6" s="43">
        <v>1</v>
      </c>
      <c r="Q6" s="43">
        <f>O6*P6</f>
      </c>
      <c r="R6" s="43"/>
      <c r="S6" s="44">
        <v>1</v>
      </c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</row>
    <row r="7">
      <c r="A7" s="45">
        <v>3</v>
      </c>
      <c r="B7" s="45"/>
      <c r="C7" s="45" t="str">
        <v>集群安装部署</v>
      </c>
      <c r="D7" s="43" t="str">
        <v>进行新集群的安装前检查、安装部署和参数调优等标准交付流程。</v>
      </c>
      <c r="E7" s="43"/>
      <c r="F7" s="43"/>
      <c r="G7" s="43"/>
      <c r="H7" s="43"/>
      <c r="I7" s="43">
        <f>5/5/4*2</f>
      </c>
      <c r="J7" s="43" t="str">
        <v>1周2人</v>
      </c>
      <c r="K7" s="43">
        <f>5/5/4*2</f>
      </c>
      <c r="L7" s="43" t="str">
        <v>1周2人</v>
      </c>
      <c r="M7" s="43">
        <f>5/5/4*2</f>
      </c>
      <c r="N7" s="43" t="str">
        <v>1周2人</v>
      </c>
      <c r="O7" s="43">
        <v>1</v>
      </c>
      <c r="P7" s="43">
        <v>2</v>
      </c>
      <c r="Q7" s="43">
        <f>O7*P7</f>
      </c>
      <c r="R7" s="43"/>
      <c r="S7" s="44">
        <v>1</v>
      </c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>
      <c r="A8" s="45">
        <v>4</v>
      </c>
      <c r="B8" s="45"/>
      <c r="C8" s="45" t="str">
        <v>集群测试与交付</v>
      </c>
      <c r="D8" s="43" t="str">
        <v>对新集群进行测试和验证，确保正常运行后进行交付验收。</v>
      </c>
      <c r="E8" s="43"/>
      <c r="F8" s="43"/>
      <c r="G8" s="43"/>
      <c r="H8" s="43"/>
      <c r="I8" s="43">
        <f>5/5/4</f>
      </c>
      <c r="J8" s="43" t="str">
        <v>1周1人</v>
      </c>
      <c r="K8" s="43">
        <f>5/5/4</f>
      </c>
      <c r="L8" s="43" t="str">
        <v>1周1人</v>
      </c>
      <c r="M8" s="43">
        <f>5/5/4</f>
      </c>
      <c r="N8" s="43" t="str">
        <v>1周1人</v>
      </c>
      <c r="O8" s="43">
        <v>1</v>
      </c>
      <c r="P8" s="43">
        <v>1</v>
      </c>
      <c r="Q8" s="43">
        <f>O8*P8</f>
      </c>
      <c r="R8" s="43"/>
      <c r="S8" s="44">
        <v>1</v>
      </c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</row>
    <row r="9">
      <c r="A9" s="34">
        <v>5</v>
      </c>
      <c r="B9" s="34" t="str">
        <v>数仓迁移准备</v>
      </c>
      <c r="C9" s="34" t="str">
        <v>需求分析阶段</v>
      </c>
      <c r="D9" s="37" t="str">
        <v>调研现有数仓的业务需求和数据结构等现状，明确迁移过程中的关键业务点和数据依赖关系。</v>
      </c>
      <c r="E9" s="37"/>
      <c r="F9" s="37"/>
      <c r="G9" s="37" t="str">
        <v>30TB以下：建议2-3周，2-3人
30TB以上：适当增加</v>
      </c>
      <c r="H9" s="37"/>
      <c r="I9" s="39">
        <v>0.25</v>
      </c>
      <c r="J9" s="39" t="str">
        <v>1周1人</v>
      </c>
      <c r="K9" s="39">
        <f>5/5/4</f>
      </c>
      <c r="L9" s="39" t="str">
        <v>1周1人</v>
      </c>
      <c r="M9" s="39">
        <v>0.25</v>
      </c>
      <c r="N9" s="39" t="str">
        <v>1周1人</v>
      </c>
      <c r="O9" s="37">
        <v>1</v>
      </c>
      <c r="P9" s="37">
        <v>1</v>
      </c>
      <c r="Q9" s="37">
        <f>O9*P9</f>
      </c>
      <c r="R9" s="37">
        <f>SUM(Q9:Q13)/4</f>
      </c>
      <c r="S9" s="36">
        <v>1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</row>
    <row r="10">
      <c r="A10" s="34">
        <v>6</v>
      </c>
      <c r="B10" s="34"/>
      <c r="C10" s="34" t="str">
        <v>方案设计阶段</v>
      </c>
      <c r="D10" s="37" t="str">
        <v>根据需求分析结果，设计新的数仓架构和迁移方案、应急方案等。</v>
      </c>
      <c r="E10" s="37"/>
      <c r="F10" s="37"/>
      <c r="G10" s="37"/>
      <c r="H10" s="37"/>
      <c r="I10" s="39">
        <f>5*2*2/5/4</f>
      </c>
      <c r="J10" s="39" t="str">
        <v>2周2人</v>
      </c>
      <c r="K10" s="39">
        <f>10/5/4</f>
      </c>
      <c r="L10" s="39" t="str">
        <v>2周1人</v>
      </c>
      <c r="M10" s="39">
        <f>5*2*2/5/4</f>
      </c>
      <c r="N10" s="39" t="str">
        <v>2周2人</v>
      </c>
      <c r="O10" s="37">
        <v>2</v>
      </c>
      <c r="P10" s="37">
        <v>2</v>
      </c>
      <c r="Q10" s="37">
        <f>O10*P10</f>
      </c>
      <c r="R10" s="37"/>
      <c r="S10" s="36">
        <v>1</v>
      </c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</row>
    <row r="11">
      <c r="A11" s="34">
        <v>7</v>
      </c>
      <c r="B11" s="34"/>
      <c r="C11" s="34" t="str">
        <v>计划制定阶段</v>
      </c>
      <c r="D11" s="37" t="str">
        <v>确定迁移目标、范围和时间表，制定详细的迁移计划，包括风险评估和资源调配。</v>
      </c>
      <c r="E11" s="37"/>
      <c r="F11" s="37"/>
      <c r="G11" s="37"/>
      <c r="H11" s="37"/>
      <c r="I11" s="39">
        <v>0.25</v>
      </c>
      <c r="J11" s="39" t="str">
        <v>1周1人</v>
      </c>
      <c r="K11" s="39">
        <f>3/5/4</f>
      </c>
      <c r="L11" s="39" t="str">
        <v>3天1人</v>
      </c>
      <c r="M11" s="39">
        <v>0.25</v>
      </c>
      <c r="N11" s="39" t="str">
        <v>1周1人</v>
      </c>
      <c r="O11" s="37">
        <v>1</v>
      </c>
      <c r="P11" s="37">
        <v>1</v>
      </c>
      <c r="Q11" s="37">
        <f>O11*P11</f>
      </c>
      <c r="R11" s="37"/>
      <c r="S11" s="36">
        <v>1</v>
      </c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</row>
    <row r="12">
      <c r="A12" s="34">
        <v>8</v>
      </c>
      <c r="B12" s="34"/>
      <c r="C12" s="34" t="str">
        <v>基础环境准备</v>
      </c>
      <c r="D12" s="37" t="str">
        <v>部署新数仓环境所需的工具或组件，包括调度、ETL、BI报表、数据服务等组件及迁移工具。并配置好工作机开发环境及相关网络的权限。</v>
      </c>
      <c r="E12" s="37"/>
      <c r="F12" s="37"/>
      <c r="G12" s="37" t="str">
        <v>30TB以下：建议1周，2-3人
30TB以上：适当增加</v>
      </c>
      <c r="H12" s="37" t="str">
        <v>需客户配合开通相关网络、权限、软硬件上架和部署等准备工作。</v>
      </c>
      <c r="I12" s="39">
        <v>0.5</v>
      </c>
      <c r="J12" s="39" t="str">
        <v>1周2人</v>
      </c>
      <c r="K12" s="39">
        <f>5/5/4*2</f>
      </c>
      <c r="L12" s="39" t="str">
        <v>1周2人</v>
      </c>
      <c r="M12" s="39">
        <v>0.5</v>
      </c>
      <c r="N12" s="39" t="str">
        <v>1周2人</v>
      </c>
      <c r="O12" s="37">
        <v>1</v>
      </c>
      <c r="P12" s="37">
        <v>2</v>
      </c>
      <c r="Q12" s="37">
        <f>O12*P12</f>
      </c>
      <c r="R12" s="37"/>
      <c r="S12" s="36">
        <v>1</v>
      </c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</row>
    <row r="13">
      <c r="A13" s="34">
        <v>9</v>
      </c>
      <c r="B13" s="34"/>
      <c r="C13" s="34" t="str">
        <v>预迁移验证阶段</v>
      </c>
      <c r="D13" s="37" t="str">
        <v>检查新数仓环境，根据迁移方案选择合适的业务线开展预迁移验证工作（涵盖迁移实施阶段的所有流程节点），及时发现并修复潜在问题。</v>
      </c>
      <c r="E13" s="38"/>
      <c r="F13" s="38"/>
      <c r="G13" s="38" t="str">
        <v>参考POC测试，建议不少于2周，2-3人，1-2个业务场景。</v>
      </c>
      <c r="H13" s="37" t="str">
        <v>选择1-2个具有代表性的完整业务流程进行预迁移验证。</v>
      </c>
      <c r="I13" s="35">
        <f>5*4*3/5/4</f>
      </c>
      <c r="J13" s="35" t="str">
        <v>4周3人</v>
      </c>
      <c r="K13" s="35">
        <v>0</v>
      </c>
      <c r="L13" s="35" t="str">
        <v>2周2人，POC已验证，跳过</v>
      </c>
      <c r="M13" s="35">
        <f>5*3*3/5/4</f>
      </c>
      <c r="N13" s="35" t="str">
        <v>3周3人</v>
      </c>
      <c r="O13" s="37">
        <v>4</v>
      </c>
      <c r="P13" s="37">
        <v>3</v>
      </c>
      <c r="Q13" s="37">
        <f>O13*P13</f>
      </c>
      <c r="R13" s="37"/>
      <c r="S13" s="36">
        <v>1</v>
      </c>
      <c r="T13" s="36">
        <v>1</v>
      </c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</row>
    <row r="14">
      <c r="A14" s="34">
        <v>10</v>
      </c>
      <c r="B14" s="34" t="str">
        <v>数仓迁移实施</v>
      </c>
      <c r="C14" s="34" t="str">
        <v>业务迁移阶段</v>
      </c>
      <c r="D14" s="37" t="str">
        <v>将现有数仓的业务脚本迁移到新数仓中，包括序列、表、函数、视图等对象。</v>
      </c>
      <c r="E14" s="37"/>
      <c r="F14" s="37"/>
      <c r="G14" s="37" t="str">
        <v>人工适配：假设每人每天平均可适配100张表或15个函数（sql语言，其他语言另行评估，如：每人每天1-2个）或25个视图。其他对象建议1周。
工具+人工：假设效率提升1倍，则每人每天平均可适配200张表或30个函数或50个视图。</v>
      </c>
      <c r="H14" s="37" t="s">
        <v>1</v>
      </c>
      <c r="I14" s="39">
        <f>ROUND((8000/100+12000/15+5/25+300/2+5*2)/5/4/2,2)</f>
      </c>
      <c r="J14" s="39" t="str">
        <v>8000张表（待确认，含分区为37000个，目前按15%比例为分区表，每个分区表平均30个分区进行剔除），1.2w个函数，5个视图，300个非sql函数，其他对象若干（按1周2人计算），使用工具，假设效率提升1倍</v>
      </c>
      <c r="K14" s="39">
        <f>ROUND((400/100+300/15+5)/5/4,2)</f>
      </c>
      <c r="L14" s="39" t="str">
        <v>400张表、300个函数、0个视图，其他对象若干（按1周1人计算），人工适配</v>
      </c>
      <c r="M14" s="39">
        <f>ROUND((3200/100+2200/15+50/25+10/1+5*2)/5/4/2,2)</f>
      </c>
      <c r="N14" s="39" t="str">
        <v>3200张表，2200个函数，50个视图，10个plpythonu函数，其他对象若干（按1周2人计算），使用工具，假设效率提升1倍</v>
      </c>
      <c r="O14" s="37">
        <v>21</v>
      </c>
      <c r="P14" s="37">
        <v>5</v>
      </c>
      <c r="Q14" s="37">
        <f>O14*P14</f>
      </c>
      <c r="R14" s="37">
        <f>SUM(Q14:Q19)/4</f>
      </c>
      <c r="S14" s="37"/>
      <c r="T14" s="36">
        <v>1</v>
      </c>
      <c r="U14" s="36">
        <v>1</v>
      </c>
      <c r="V14" s="36">
        <v>1</v>
      </c>
      <c r="W14" s="36">
        <v>1</v>
      </c>
      <c r="X14" s="36">
        <v>1</v>
      </c>
      <c r="Y14" s="36">
        <v>1</v>
      </c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</row>
    <row r="15">
      <c r="A15" s="34">
        <v>11</v>
      </c>
      <c r="B15" s="34"/>
      <c r="C15" s="34" t="str">
        <v>数据迁移阶段</v>
      </c>
      <c r="D15" s="37" t="str">
        <v>将现有数仓的业务数据迁移到新数仓中，包括数据清洗、转换、加载等过程。</v>
      </c>
      <c r="E15" s="37"/>
      <c r="F15" s="37"/>
      <c r="G15" s="37" t="str">
        <v>假设300-500GB/h，需注意避开交易时间及原系统高频业务时间等窗口期。</v>
      </c>
      <c r="H15" s="37" t="str">
        <v>1）硬件资源或成为瓶颈，如：网络、磁盘IO等。
2）窗口期的选择也需要综合考虑。</v>
      </c>
      <c r="I15" s="39">
        <f>ROUND(70*1024/300/8/5/4,2)</f>
      </c>
      <c r="J15" s="39" t="str">
        <v>70TB，每天8h可用</v>
      </c>
      <c r="K15" s="39">
        <f>ROUND(18*1024/300/8/5/4,2)</f>
      </c>
      <c r="L15" s="39" t="str">
        <v>18T，假设每天8h可用</v>
      </c>
      <c r="M15" s="39">
        <f>ROUND(100*1024/300/8/5/4,2)</f>
      </c>
      <c r="N15" s="39" t="str">
        <v>100TB，每天8h可用</v>
      </c>
      <c r="O15" s="37">
        <v>6</v>
      </c>
      <c r="P15" s="37">
        <v>1</v>
      </c>
      <c r="Q15" s="37">
        <f>O15*P15</f>
      </c>
      <c r="R15" s="37"/>
      <c r="S15" s="37"/>
      <c r="T15" s="47"/>
      <c r="U15" s="37"/>
      <c r="V15" s="37"/>
      <c r="W15" s="36">
        <v>1</v>
      </c>
      <c r="X15" s="36">
        <v>1</v>
      </c>
      <c r="Y15" s="36">
        <v>1</v>
      </c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</row>
    <row r="16">
      <c r="A16" s="34">
        <v>12</v>
      </c>
      <c r="B16" s="34"/>
      <c r="C16" s="34" t="str">
        <v>应用迁移阶段</v>
      </c>
      <c r="D16" s="37" t="str">
        <v>根据新数仓的特性，进行数据应用及数仓组件的适配改造，包括调度系统、数据同步组件（ETL）、BI应用、数据服务组件等。</v>
      </c>
      <c r="E16" s="37"/>
      <c r="F16" s="37"/>
      <c r="G16" s="37" t="str">
        <v>根据应用系统的复杂度进行评估，如：假设每人每天平均可适配30个调度任务或10个BI报表。</v>
      </c>
      <c r="H16" s="37" t="str">
        <v>应用部分若适配度低，则需要增加工作量。</v>
      </c>
      <c r="I16" s="39">
        <f>ROUND(1600/30/5/4,2)</f>
      </c>
      <c r="J16" s="39" t="str">
        <v>1600个任务，报表不计入</v>
      </c>
      <c r="K16" s="39">
        <f>ROUND((300/30+200/10)/5/4,2)</f>
      </c>
      <c r="L16" s="39" t="str">
        <v>300个任务，200个报表</v>
      </c>
      <c r="M16" s="39">
        <f>ROUND((2000/30+1500/10)/5/4,2)</f>
      </c>
      <c r="N16" s="39" t="str">
        <v>2000个任务，1500个报表</v>
      </c>
      <c r="O16" s="37">
        <v>11</v>
      </c>
      <c r="P16" s="37">
        <v>1</v>
      </c>
      <c r="Q16" s="37">
        <f>O16*P16</f>
      </c>
      <c r="R16" s="37"/>
      <c r="S16" s="37"/>
      <c r="T16" s="37"/>
      <c r="U16" s="36">
        <v>1</v>
      </c>
      <c r="V16" s="36">
        <v>1</v>
      </c>
      <c r="W16" s="36">
        <v>1</v>
      </c>
      <c r="X16" s="36">
        <v>1</v>
      </c>
      <c r="Y16" s="36">
        <v>1</v>
      </c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</row>
    <row r="17">
      <c r="A17" s="34">
        <v>13</v>
      </c>
      <c r="B17" s="34"/>
      <c r="C17" s="34" t="str">
        <v>业务校验阶段</v>
      </c>
      <c r="D17" s="37" t="str">
        <v>对迁移后的数据进行深度校验，确保数据的正确性和一致性，如有问题，及时修复。</v>
      </c>
      <c r="E17" s="37"/>
      <c r="F17" s="37"/>
      <c r="G17" s="37" t="str">
        <v>建议至少1个月进行数据的初步校验，2-3人，假设每人每天平均可校验10张表，若使用工具，假设效率提升1倍，则每人每天平均可校验20张表。</v>
      </c>
      <c r="H17" s="37" t="str">
        <v>实时数据场景、表模型变更、系统多个组件变更等，均对数据结果产生较大的影响。</v>
      </c>
      <c r="I17" s="39">
        <f>8000/10/5/4/2</f>
      </c>
      <c r="J17" s="39" t="str">
        <v>8000张表，使用工具，假设效率提升1倍</v>
      </c>
      <c r="K17" s="39">
        <f>400/10/5/4</f>
      </c>
      <c r="L17" s="39" t="str">
        <v>400张表，人工校验</v>
      </c>
      <c r="M17" s="39">
        <f>3000/10/5/4/2</f>
      </c>
      <c r="N17" s="39" t="str">
        <v>3000张表，使用工具，假设效率提升1倍</v>
      </c>
      <c r="O17" s="37">
        <v>16</v>
      </c>
      <c r="P17" s="37">
        <v>5</v>
      </c>
      <c r="Q17" s="37">
        <f>O17*P17</f>
      </c>
      <c r="R17" s="37"/>
      <c r="S17" s="37"/>
      <c r="T17" s="37"/>
      <c r="U17" s="37"/>
      <c r="V17" s="36">
        <v>1</v>
      </c>
      <c r="W17" s="36">
        <v>1</v>
      </c>
      <c r="X17" s="36">
        <v>1</v>
      </c>
      <c r="Y17" s="36">
        <v>1</v>
      </c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</row>
    <row r="18">
      <c r="A18" s="34">
        <v>14</v>
      </c>
      <c r="B18" s="34"/>
      <c r="C18" s="34" t="str">
        <v>系统测试阶段</v>
      </c>
      <c r="D18" s="37" t="str">
        <v>对迁移后的新数仓进行全面的测试，包括性能测试、功能测试、安全测试等。</v>
      </c>
      <c r="E18" s="37"/>
      <c r="F18" s="37"/>
      <c r="G18" s="37" t="str">
        <v>建议不少于2周的系统测试，2-3人</v>
      </c>
      <c r="H18" s="37" t="str">
        <v>至少开展1-2次全系统组件联调测试。</v>
      </c>
      <c r="I18" s="39">
        <f>5*3*3/5/4</f>
      </c>
      <c r="J18" s="39" t="str">
        <v>3周3人</v>
      </c>
      <c r="K18" s="39">
        <f>2/4</f>
      </c>
      <c r="L18" s="39" t="str">
        <v>2周1人</v>
      </c>
      <c r="M18" s="39">
        <f>5*3*3/5/4</f>
      </c>
      <c r="N18" s="39" t="str">
        <v>3周3人</v>
      </c>
      <c r="O18" s="37">
        <v>3</v>
      </c>
      <c r="P18" s="37">
        <v>3</v>
      </c>
      <c r="Q18" s="37">
        <f>O18*P18</f>
      </c>
      <c r="R18" s="37"/>
      <c r="S18" s="37"/>
      <c r="T18" s="37"/>
      <c r="U18" s="37"/>
      <c r="V18" s="37"/>
      <c r="W18" s="37"/>
      <c r="X18" s="37"/>
      <c r="Y18" s="36">
        <v>1</v>
      </c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</row>
    <row r="19">
      <c r="A19" s="34">
        <v>15</v>
      </c>
      <c r="B19" s="34"/>
      <c r="C19" s="34" t="str">
        <v>文档编写阶段</v>
      </c>
      <c r="D19" s="37" t="str">
        <v>编写详细的迁移实施手册和用户手册，包括系统架构、操作指南、安装部署、应急回退、备份还原、双轨并行目标与计划等内容。</v>
      </c>
      <c r="E19" s="37"/>
      <c r="F19" s="37"/>
      <c r="G19" s="37" t="str">
        <v>建议1-2周，1-2人</v>
      </c>
      <c r="H19" s="37"/>
      <c r="I19" s="39">
        <f>5*2/5/4</f>
      </c>
      <c r="J19" s="39" t="str">
        <v>1周2人</v>
      </c>
      <c r="K19" s="39">
        <f>5/5/4</f>
      </c>
      <c r="L19" s="39" t="str">
        <v>1周1人</v>
      </c>
      <c r="M19" s="39">
        <f>5*2/5/4</f>
      </c>
      <c r="N19" s="39" t="str">
        <v>1周2人</v>
      </c>
      <c r="O19" s="37">
        <v>1</v>
      </c>
      <c r="P19" s="37">
        <v>2</v>
      </c>
      <c r="Q19" s="37">
        <f>O19*P19</f>
      </c>
      <c r="R19" s="37"/>
      <c r="S19" s="37"/>
      <c r="T19" s="37"/>
      <c r="U19" s="37"/>
      <c r="V19" s="37"/>
      <c r="W19" s="37"/>
      <c r="X19" s="37"/>
      <c r="Y19" s="48">
        <v>1</v>
      </c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</row>
    <row r="20">
      <c r="A20" s="34">
        <v>16</v>
      </c>
      <c r="B20" s="34" t="str">
        <v>系统试运行</v>
      </c>
      <c r="C20" s="34" t="str">
        <v>系统部署阶段</v>
      </c>
      <c r="D20" s="37" t="str">
        <v>在生产环境中部署数仓系统基础环境，包括MPP数据库集群、调度、ETL、BI报表、数据服务等组件，部署新数仓系统的代码脚本，并进行业务数据的迁移等工作。</v>
      </c>
      <c r="E20" s="37"/>
      <c r="F20" s="37"/>
      <c r="G20" s="37" t="str">
        <v>建议1-2周，1-2人</v>
      </c>
      <c r="H20" s="37"/>
      <c r="I20" s="39">
        <f>5*2/5/4</f>
      </c>
      <c r="J20" s="39" t="str">
        <v>1周2人</v>
      </c>
      <c r="K20" s="39">
        <f>5/5/4</f>
      </c>
      <c r="L20" s="39" t="str">
        <v>1周1人</v>
      </c>
      <c r="M20" s="39">
        <f>5*2/5/4</f>
      </c>
      <c r="N20" s="39" t="str">
        <v>1周2人</v>
      </c>
      <c r="O20" s="37">
        <v>1</v>
      </c>
      <c r="P20" s="37">
        <v>2</v>
      </c>
      <c r="Q20" s="37">
        <f>O20*P20</f>
      </c>
      <c r="R20" s="37">
        <f>SUM(Q20:Q26)/4</f>
      </c>
      <c r="S20" s="37"/>
      <c r="T20" s="37"/>
      <c r="U20" s="37"/>
      <c r="V20" s="37"/>
      <c r="W20" s="37"/>
      <c r="X20" s="40"/>
      <c r="Y20" s="21"/>
      <c r="Z20" s="41">
        <v>1</v>
      </c>
      <c r="AA20" s="37"/>
      <c r="AB20" s="37"/>
      <c r="AC20" s="37"/>
      <c r="AD20" s="37"/>
      <c r="AE20" s="37"/>
      <c r="AF20" s="37"/>
      <c r="AG20" s="37"/>
      <c r="AH20" s="37"/>
      <c r="AI20" s="37"/>
      <c r="AJ20" s="37"/>
    </row>
    <row r="21">
      <c r="A21" s="34">
        <v>17</v>
      </c>
      <c r="B21" s="34"/>
      <c r="C21" s="34" t="str">
        <v>双轨并行阶段</v>
      </c>
      <c r="D21" s="37" t="str">
        <v>将新的数仓上线试运行，模拟正式上线流程，同时持续监控和对比新旧数仓的运行情况，及时发现并解决问题。</v>
      </c>
      <c r="E21" s="37"/>
      <c r="F21" s="37"/>
      <c r="G21" s="37" t="str">
        <v>建议3-6个月并行，1-3人</v>
      </c>
      <c r="H21" s="37"/>
      <c r="I21" s="39">
        <f>6*2</f>
      </c>
      <c r="J21" s="39" t="str">
        <v>6个月2人</v>
      </c>
      <c r="K21" s="39">
        <f>3*1</f>
      </c>
      <c r="L21" s="39" t="str">
        <v>3个月1人</v>
      </c>
      <c r="M21" s="39">
        <f>6*2</f>
      </c>
      <c r="N21" s="39" t="str">
        <v>6个月2人</v>
      </c>
      <c r="O21" s="37">
        <v>24</v>
      </c>
      <c r="P21" s="37">
        <v>2</v>
      </c>
      <c r="Q21" s="37">
        <f>O21*P21</f>
      </c>
      <c r="R21" s="37"/>
      <c r="S21" s="37"/>
      <c r="T21" s="37"/>
      <c r="U21" s="37"/>
      <c r="V21" s="37"/>
      <c r="W21" s="37"/>
      <c r="X21" s="40"/>
      <c r="Y21" s="21"/>
      <c r="Z21" s="41">
        <v>1</v>
      </c>
      <c r="AA21" s="36">
        <v>1</v>
      </c>
      <c r="AB21" s="36">
        <v>1</v>
      </c>
      <c r="AC21" s="36">
        <v>1</v>
      </c>
      <c r="AD21" s="36">
        <v>1</v>
      </c>
      <c r="AE21" s="36">
        <v>1</v>
      </c>
      <c r="AF21" s="37"/>
      <c r="AG21" s="37"/>
      <c r="AH21" s="37"/>
      <c r="AI21" s="37"/>
      <c r="AJ21" s="37"/>
    </row>
    <row r="22">
      <c r="A22" s="34">
        <v>18</v>
      </c>
      <c r="B22" s="34"/>
      <c r="C22" s="34" t="str">
        <v>培训支持阶段</v>
      </c>
      <c r="D22" s="37" t="str">
        <v>为业务人员、运维人员等提供新系统的使用培训，解决他们在使用新系统过程中遇到的问题。</v>
      </c>
      <c r="E22" s="37"/>
      <c r="F22" s="37"/>
      <c r="G22" s="37" t="str">
        <v>建议1-2周，1-2人</v>
      </c>
      <c r="H22" s="37"/>
      <c r="I22" s="39">
        <f>5*2/5/4</f>
      </c>
      <c r="J22" s="39" t="str">
        <v>1周2人</v>
      </c>
      <c r="K22" s="39">
        <v>0</v>
      </c>
      <c r="L22" s="39" t="str">
        <v>1周2人，并行时同步进行，跳过</v>
      </c>
      <c r="M22" s="39">
        <f>5*2/5/4</f>
      </c>
      <c r="N22" s="39" t="str">
        <v>1周2人</v>
      </c>
      <c r="O22" s="37">
        <v>1</v>
      </c>
      <c r="P22" s="37">
        <v>2</v>
      </c>
      <c r="Q22" s="37">
        <f>O22*P22</f>
      </c>
      <c r="R22" s="37"/>
      <c r="S22" s="37"/>
      <c r="T22" s="37"/>
      <c r="U22" s="37"/>
      <c r="V22" s="37"/>
      <c r="W22" s="37"/>
      <c r="X22" s="40"/>
      <c r="Y22" s="21"/>
      <c r="Z22" s="41">
        <v>1</v>
      </c>
      <c r="AA22" s="37"/>
      <c r="AB22" s="37"/>
      <c r="AC22" s="37"/>
      <c r="AD22" s="37"/>
      <c r="AE22" s="37"/>
      <c r="AF22" s="37"/>
      <c r="AG22" s="37"/>
      <c r="AH22" s="37"/>
      <c r="AI22" s="37"/>
      <c r="AJ22" s="37"/>
    </row>
    <row r="23">
      <c r="A23" s="34">
        <v>19</v>
      </c>
      <c r="B23" s="34"/>
      <c r="C23" s="34" t="str">
        <v>性能调优阶段</v>
      </c>
      <c r="D23" s="37" t="str">
        <v>根据系统运行情况和使用反馈，对新系统进行持续的优化和改进。</v>
      </c>
      <c r="E23" s="37"/>
      <c r="F23" s="37"/>
      <c r="G23" s="37" t="str">
        <v>建议并行期间进行调优，1-2人</v>
      </c>
      <c r="H23" s="37"/>
      <c r="I23" s="39">
        <v>0</v>
      </c>
      <c r="J23" s="39" t="str">
        <v>3个月2人，并行时同步优化，跳过</v>
      </c>
      <c r="K23" s="39">
        <v>0</v>
      </c>
      <c r="L23" s="39" t="str">
        <v>3个月1人，并行时同步优化，跳过</v>
      </c>
      <c r="M23" s="39">
        <v>0</v>
      </c>
      <c r="N23" s="39" t="str">
        <v>6个月2人，并行时同步优化，跳过</v>
      </c>
      <c r="O23" s="37">
        <v>24</v>
      </c>
      <c r="P23" s="37">
        <v>0</v>
      </c>
      <c r="Q23" s="37">
        <f>O23*P23</f>
      </c>
      <c r="R23" s="37"/>
      <c r="S23" s="37"/>
      <c r="T23" s="37"/>
      <c r="U23" s="37"/>
      <c r="V23" s="37"/>
      <c r="W23" s="37"/>
      <c r="X23" s="40"/>
      <c r="Y23" s="21"/>
      <c r="Z23" s="41">
        <v>1</v>
      </c>
      <c r="AA23" s="36">
        <v>1</v>
      </c>
      <c r="AB23" s="36">
        <v>1</v>
      </c>
      <c r="AC23" s="36">
        <v>1</v>
      </c>
      <c r="AD23" s="36">
        <v>1</v>
      </c>
      <c r="AE23" s="36">
        <v>1</v>
      </c>
      <c r="AF23" s="37"/>
      <c r="AG23" s="37"/>
      <c r="AH23" s="37"/>
      <c r="AI23" s="37"/>
      <c r="AJ23" s="37"/>
    </row>
    <row r="24">
      <c r="A24" s="34">
        <v>20</v>
      </c>
      <c r="B24" s="34" t="str">
        <v>交付及运维支持</v>
      </c>
      <c r="C24" s="34" t="str">
        <v>单轨切换阶段</v>
      </c>
      <c r="D24" s="37" t="str">
        <v>将新数仓系统正式切换上线，替换旧数仓系统，同时进行生产环境的监控和维护。</v>
      </c>
      <c r="E24" s="37"/>
      <c r="F24" s="37"/>
      <c r="G24" s="37" t="str">
        <v>建议1周，1-2人</v>
      </c>
      <c r="H24" s="37"/>
      <c r="I24" s="39">
        <f>5*2/5/4</f>
      </c>
      <c r="J24" s="39" t="str">
        <v>1周2人</v>
      </c>
      <c r="K24" s="39">
        <f>5/5/4</f>
      </c>
      <c r="L24" s="39" t="str">
        <v>1周1人</v>
      </c>
      <c r="M24" s="39">
        <f>5*2/5/4</f>
      </c>
      <c r="N24" s="39" t="str">
        <v>1周2人</v>
      </c>
      <c r="O24" s="37">
        <v>1</v>
      </c>
      <c r="P24" s="37">
        <v>2</v>
      </c>
      <c r="Q24" s="37">
        <f>O24*P24</f>
      </c>
      <c r="R24" s="37"/>
      <c r="S24" s="37"/>
      <c r="T24" s="37"/>
      <c r="U24" s="37"/>
      <c r="V24" s="37"/>
      <c r="W24" s="37"/>
      <c r="X24" s="37"/>
      <c r="Y24" s="46"/>
      <c r="Z24" s="37"/>
      <c r="AA24" s="37"/>
      <c r="AB24" s="37"/>
      <c r="AC24" s="37"/>
      <c r="AD24" s="37"/>
      <c r="AE24" s="36">
        <v>1</v>
      </c>
      <c r="AF24" s="37"/>
      <c r="AG24" s="37"/>
      <c r="AH24" s="37"/>
      <c r="AI24" s="37"/>
      <c r="AJ24" s="37"/>
    </row>
    <row r="25">
      <c r="A25" s="34">
        <v>21</v>
      </c>
      <c r="B25" s="34"/>
      <c r="C25" s="34" t="str">
        <v>项目交付阶段</v>
      </c>
      <c r="D25" s="37" t="str">
        <v>梳理和整合项目实施过程中的材料，进行交付和验收。</v>
      </c>
      <c r="E25" s="37"/>
      <c r="F25" s="37"/>
      <c r="G25" s="37" t="str">
        <v>建议1周，1-2人</v>
      </c>
      <c r="H25" s="37"/>
      <c r="I25" s="39">
        <f>5*2/5/4</f>
      </c>
      <c r="J25" s="39" t="str">
        <v>1周2人</v>
      </c>
      <c r="K25" s="39">
        <f>5/5/4</f>
      </c>
      <c r="L25" s="39" t="str">
        <v>1周1人</v>
      </c>
      <c r="M25" s="39">
        <f>5*2/5/4</f>
      </c>
      <c r="N25" s="39" t="str">
        <v>1周2人</v>
      </c>
      <c r="O25" s="37">
        <v>1</v>
      </c>
      <c r="P25" s="37">
        <v>2</v>
      </c>
      <c r="Q25" s="37">
        <f>O25*P25</f>
      </c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6">
        <v>1</v>
      </c>
      <c r="AF25" s="37"/>
      <c r="AG25" s="37"/>
      <c r="AH25" s="37"/>
      <c r="AI25" s="37"/>
      <c r="AJ25" s="37"/>
    </row>
    <row r="26">
      <c r="A26" s="34">
        <v>22</v>
      </c>
      <c r="B26" s="34"/>
      <c r="C26" s="34" t="str">
        <v>监控运维阶段</v>
      </c>
      <c r="D26" s="37" t="str">
        <v>对新的数仓系统进行长期的日常监控和维护，及时发现和解决问题。</v>
      </c>
      <c r="E26" s="37"/>
      <c r="F26" s="37"/>
      <c r="G26" s="37" t="str">
        <v>建议1年起，1-2人</v>
      </c>
      <c r="H26" s="37"/>
      <c r="I26" s="39" t="str">
        <v>-</v>
      </c>
      <c r="J26" s="39" t="str">
        <v>-</v>
      </c>
      <c r="K26" s="39" t="str">
        <v>-</v>
      </c>
      <c r="L26" s="39" t="str">
        <v>-</v>
      </c>
      <c r="M26" s="39" t="str">
        <v>-</v>
      </c>
      <c r="N26" s="39" t="str">
        <v>-</v>
      </c>
      <c r="O26" s="37" t="str">
        <v>-</v>
      </c>
      <c r="P26" s="37" t="str">
        <v>-</v>
      </c>
      <c r="Q26" s="37" t="str">
        <v>-</v>
      </c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6">
        <v>1</v>
      </c>
      <c r="AG26" s="36">
        <v>1</v>
      </c>
      <c r="AH26" s="36">
        <v>1</v>
      </c>
      <c r="AI26" s="36"/>
      <c r="AJ26" s="36"/>
    </row>
    <row r="27">
      <c r="A27" s="4" t="str">
        <v>-</v>
      </c>
      <c r="B27" s="4" t="str">
        <v>合计</v>
      </c>
      <c r="C27" s="4"/>
      <c r="D27" s="50" t="str">
        <v>-</v>
      </c>
      <c r="E27" s="50">
        <f>ROUNDUP(SUM(E9:E26),3)</f>
      </c>
      <c r="F27" s="50"/>
      <c r="G27" s="50" t="str">
        <v>-</v>
      </c>
      <c r="H27" s="50" t="str">
        <v>-</v>
      </c>
      <c r="I27" s="49">
        <f>ROUNDUP(SUM(I9:I26),0)</f>
      </c>
      <c r="J27" s="49" t="str">
        <v>-</v>
      </c>
      <c r="K27" s="49">
        <f>ROUNDUP(SUM(K9:K26),0)</f>
      </c>
      <c r="L27" s="49" t="str">
        <v>-</v>
      </c>
      <c r="M27" s="49">
        <f>ROUNDUP(SUM(M9:M26),0)</f>
      </c>
      <c r="N27" s="49" t="str">
        <v>-</v>
      </c>
      <c r="O27" s="50" t="str">
        <v>-</v>
      </c>
      <c r="P27" s="50" t="str">
        <v>-</v>
      </c>
      <c r="Q27" s="50">
        <f>SUM(Q9:Q26)</f>
      </c>
      <c r="R27" s="50">
        <f>ROUNDUP(SUM(R9:R26),0)</f>
      </c>
      <c r="S27" s="51" t="str">
        <v>第一阶段</v>
      </c>
      <c r="T27" s="51"/>
      <c r="U27" s="51"/>
      <c r="V27" s="51"/>
      <c r="W27" s="51"/>
      <c r="X27" s="51"/>
      <c r="Y27" s="51"/>
      <c r="Z27" s="53" t="str">
        <v>第二阶段</v>
      </c>
      <c r="AA27" s="53"/>
      <c r="AB27" s="53"/>
      <c r="AC27" s="53"/>
      <c r="AD27" s="53"/>
      <c r="AE27" s="53"/>
      <c r="AF27" s="52" t="str">
        <v>第三阶段</v>
      </c>
      <c r="AG27" s="52"/>
      <c r="AH27" s="52"/>
      <c r="AI27" s="52"/>
      <c r="AJ27" s="52"/>
    </row>
  </sheetData>
  <mergeCells>
    <mergeCell ref="G9:G11"/>
    <mergeCell ref="G5:G8"/>
    <mergeCell ref="I3:J3"/>
    <mergeCell ref="K3:L3"/>
    <mergeCell ref="M3:N3"/>
    <mergeCell ref="O3:R3"/>
    <mergeCell ref="R5:R8"/>
    <mergeCell ref="R9:R13"/>
    <mergeCell ref="R14:R19"/>
    <mergeCell ref="R20:R26"/>
    <mergeCell ref="B24:B26"/>
    <mergeCell ref="B20:B23"/>
    <mergeCell ref="B14:B19"/>
    <mergeCell ref="B9:B13"/>
    <mergeCell ref="B5:B8"/>
    <mergeCell ref="D2:D4"/>
    <mergeCell ref="C2:C4"/>
    <mergeCell ref="B2:B4"/>
    <mergeCell ref="A2:A4"/>
    <mergeCell ref="B27:C27"/>
    <mergeCell ref="E2:N2"/>
    <mergeCell ref="G3:H3"/>
    <mergeCell ref="E3:F3"/>
    <mergeCell ref="Z27:AE27"/>
    <mergeCell ref="S27:Y27"/>
    <mergeCell ref="AF27:AJ27"/>
    <mergeCell ref="A1:AJ1"/>
    <mergeCell ref="S3:AJ3"/>
    <mergeCell ref="O2:AJ2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1" xSplit="3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3"/>
    <col collapsed="false" customWidth="true" hidden="false" max="3" min="3" style="0" width="13"/>
    <col collapsed="false" customWidth="true" hidden="false" max="4" min="4" style="0" width="82"/>
    <col collapsed="false" customWidth="true" hidden="false" max="5" min="5" style="0" width="6"/>
    <col collapsed="false" customWidth="true" hidden="false" max="6" min="6" style="0" width="26"/>
    <col collapsed="false" customWidth="true" hidden="false" max="7" min="7" style="0" width="4"/>
    <col collapsed="false" customWidth="true" hidden="false" max="8" min="8" style="0" width="4"/>
    <col collapsed="false" customWidth="true" hidden="false" max="9" min="9" style="0" width="4"/>
    <col collapsed="false" customWidth="true" hidden="false" max="10" min="10" style="0" width="4"/>
    <col collapsed="false" customWidth="true" hidden="false" max="11" min="11" style="0" width="4"/>
    <col collapsed="false" customWidth="true" hidden="false" max="12" min="12" style="0" width="4"/>
    <col collapsed="false" customWidth="true" hidden="false" max="13" min="13" style="0" width="4"/>
    <col collapsed="false" customWidth="true" hidden="false" max="14" min="14" style="0" width="4"/>
    <col collapsed="false" customWidth="true" hidden="false" max="15" min="15" style="0" width="4"/>
    <col collapsed="false" customWidth="true" hidden="false" max="16" min="16" style="0" width="4"/>
    <col collapsed="false" customWidth="true" hidden="false" max="17" min="17" style="0" width="4"/>
    <col collapsed="false" customWidth="true" hidden="false" max="18" min="18" style="0" width="4"/>
    <col collapsed="false" customWidth="true" hidden="false" max="19" min="19" style="0" width="4"/>
    <col collapsed="false" customWidth="true" hidden="false" max="20" min="20" style="0" width="4"/>
    <col collapsed="false" customWidth="true" hidden="false" max="21" min="21" style="0" width="4"/>
    <col collapsed="false" customWidth="true" hidden="false" max="22" min="22" style="0" width="4"/>
    <col collapsed="false" customWidth="true" hidden="false" max="23" min="23" style="0" width="4"/>
    <col collapsed="false" customWidth="true" hidden="false" max="24" min="24" style="0" width="4"/>
    <col collapsed="false" customWidth="true" hidden="false" max="25" min="25" style="0" width="4"/>
    <col collapsed="false" customWidth="true" hidden="false" max="26" min="26" style="0" width="4"/>
    <col collapsed="false" customWidth="true" hidden="false" max="27" min="27" style="0" width="4"/>
    <col collapsed="false" customWidth="true" hidden="false" max="28" min="28" style="0" width="4"/>
  </cols>
  <sheetData>
    <row r="1">
      <c r="A1" s="42" t="str">
        <v>数仓迁移工作量评估：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</row>
    <row r="2">
      <c r="A2" s="4" t="str">
        <v>序号</v>
      </c>
      <c r="B2" s="4" t="str">
        <v>项目里程碑</v>
      </c>
      <c r="C2" s="4" t="str">
        <v>项目阶段</v>
      </c>
      <c r="D2" s="4" t="str">
        <v>工作内容</v>
      </c>
      <c r="E2" s="4" t="str">
        <v>工作量预估（人月）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4"/>
      <c r="B3" s="4"/>
      <c r="C3" s="4"/>
      <c r="D3" s="4"/>
      <c r="E3" s="4" t="str">
        <v>工作量评估</v>
      </c>
      <c r="F3" s="4"/>
      <c r="G3" s="4" t="str">
        <v>计划明细
（示例：某保险公司）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4"/>
      <c r="B4" s="4"/>
      <c r="C4" s="4"/>
      <c r="D4" s="4"/>
      <c r="E4" s="4" t="str">
        <v>人月</v>
      </c>
      <c r="F4" s="4" t="str">
        <v>备注</v>
      </c>
      <c r="G4" s="4" t="str">
        <v>第1个月</v>
      </c>
      <c r="H4" s="4" t="str">
        <v>第2个月</v>
      </c>
      <c r="I4" s="4" t="str">
        <v>第3个月</v>
      </c>
      <c r="J4" s="4" t="str">
        <v>第4个月</v>
      </c>
      <c r="K4" s="4" t="str">
        <v>第5个月</v>
      </c>
      <c r="L4" s="4" t="str">
        <v>第6个月</v>
      </c>
      <c r="M4" s="4" t="str">
        <v>第7个月</v>
      </c>
      <c r="N4" s="4" t="str">
        <v>第8个月</v>
      </c>
      <c r="O4" s="4" t="str">
        <v>第9个月</v>
      </c>
      <c r="P4" s="4" t="str">
        <v>第10个月</v>
      </c>
      <c r="Q4" s="4" t="str">
        <v>第11个月</v>
      </c>
      <c r="R4" s="4" t="str">
        <v>第12个月</v>
      </c>
      <c r="S4" s="4" t="str">
        <v>第13个月</v>
      </c>
      <c r="T4" s="4" t="str">
        <v>第14个月</v>
      </c>
      <c r="U4" s="4" t="str">
        <v>第15个月</v>
      </c>
      <c r="V4" s="4" t="str">
        <v>第16个月</v>
      </c>
      <c r="W4" s="4" t="str">
        <v>第17个月</v>
      </c>
      <c r="X4" s="4" t="str">
        <v>第18个月</v>
      </c>
    </row>
    <row r="5">
      <c r="A5" s="45">
        <v>1</v>
      </c>
      <c r="B5" s="45" t="str">
        <v>产品交付部署</v>
      </c>
      <c r="C5" s="45" t="str">
        <v>环境信息调研</v>
      </c>
      <c r="D5" s="43" t="str">
        <v>调研硬件、网络、操作系统等基础信息，以及工作机情况（需要远程访问）</v>
      </c>
      <c r="E5" s="43">
        <f>'评估基础数据（快捷计算）'!D17</f>
      </c>
      <c r="F5" s="43">
        <f>'评估基础数据（快捷计算）'!F17</f>
      </c>
      <c r="G5" s="44">
        <v>1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>
      <c r="A6" s="45">
        <v>2</v>
      </c>
      <c r="B6" s="45"/>
      <c r="C6" s="45" t="str">
        <v>集群部署规划</v>
      </c>
      <c r="D6" s="43" t="str">
        <v>设计和规划新集群的部署架构，包括IP、端口、磁盘等。</v>
      </c>
      <c r="E6" s="43">
        <f>'评估基础数据（快捷计算）'!D18</f>
      </c>
      <c r="F6" s="43">
        <f>'评估基础数据（快捷计算）'!F18</f>
      </c>
      <c r="G6" s="44">
        <v>1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>
      <c r="A7" s="45">
        <v>3</v>
      </c>
      <c r="B7" s="45"/>
      <c r="C7" s="45" t="str">
        <v>集群安装部署</v>
      </c>
      <c r="D7" s="43" t="str">
        <v>进行新集群的安装前检查、安装部署和参数调优等标准交付流程。</v>
      </c>
      <c r="E7" s="43">
        <f>'评估基础数据（快捷计算）'!D19</f>
      </c>
      <c r="F7" s="43">
        <f>'评估基础数据（快捷计算）'!F19</f>
      </c>
      <c r="G7" s="44">
        <v>1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</row>
    <row r="8">
      <c r="A8" s="45">
        <v>4</v>
      </c>
      <c r="B8" s="45"/>
      <c r="C8" s="45" t="str">
        <v>集群测试与交付</v>
      </c>
      <c r="D8" s="43" t="str">
        <v>对新集群进行测试和验证，确保正常运行后进行交付验收。</v>
      </c>
      <c r="E8" s="43">
        <f>'评估基础数据（快捷计算）'!D20</f>
      </c>
      <c r="F8" s="43">
        <f>'评估基础数据（快捷计算）'!F20</f>
      </c>
      <c r="G8" s="44">
        <v>1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>
      <c r="A9" s="34">
        <v>5</v>
      </c>
      <c r="B9" s="34" t="str">
        <v>数仓迁移准备</v>
      </c>
      <c r="C9" s="34" t="str">
        <v>需求分析阶段</v>
      </c>
      <c r="D9" s="37" t="str">
        <v>调研现有数仓的业务需求和数据结构等现状，明确迁移过程中的关键业务点和数据依赖关系。</v>
      </c>
      <c r="E9" s="37">
        <f>'评估基础数据（快捷计算）'!D21</f>
      </c>
      <c r="F9" s="37">
        <f>'评估基础数据（快捷计算）'!F21</f>
      </c>
      <c r="G9" s="36">
        <v>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</row>
    <row r="10">
      <c r="A10" s="34">
        <v>6</v>
      </c>
      <c r="B10" s="34"/>
      <c r="C10" s="34" t="str">
        <v>方案设计阶段</v>
      </c>
      <c r="D10" s="37" t="str">
        <v>根据需求分析结果，设计新的数仓架构和迁移方案、应急方案等。</v>
      </c>
      <c r="E10" s="37">
        <f>'评估基础数据（快捷计算）'!D22</f>
      </c>
      <c r="F10" s="37">
        <f>'评估基础数据（快捷计算）'!F22</f>
      </c>
      <c r="G10" s="36">
        <v>1</v>
      </c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>
      <c r="A11" s="34">
        <v>7</v>
      </c>
      <c r="B11" s="34"/>
      <c r="C11" s="34" t="str">
        <v>计划制定阶段</v>
      </c>
      <c r="D11" s="37" t="str">
        <v>确定迁移目标、范围和时间表，制定详细的迁移计划，包括风险评估和资源调配。</v>
      </c>
      <c r="E11" s="37">
        <f>'评估基础数据（快捷计算）'!D23</f>
      </c>
      <c r="F11" s="37">
        <f>'评估基础数据（快捷计算）'!F23</f>
      </c>
      <c r="G11" s="36">
        <v>1</v>
      </c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>
      <c r="A12" s="34">
        <v>8</v>
      </c>
      <c r="B12" s="34"/>
      <c r="C12" s="34" t="str">
        <v>基础环境准备</v>
      </c>
      <c r="D12" s="37" t="str">
        <v>部署新数仓环境所需的工具或组件，包括调度、ETL、BI报表、数据服务等组件及迁移工具。并配置好工作机开发环境及相关网络的权限。</v>
      </c>
      <c r="E12" s="37">
        <f>'评估基础数据（快捷计算）'!D24</f>
      </c>
      <c r="F12" s="37">
        <f>'评估基础数据（快捷计算）'!F24</f>
      </c>
      <c r="G12" s="36">
        <v>1</v>
      </c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</row>
    <row r="13">
      <c r="A13" s="34">
        <v>9</v>
      </c>
      <c r="B13" s="34"/>
      <c r="C13" s="34" t="str">
        <v>预迁移验证阶段</v>
      </c>
      <c r="D13" s="37" t="str">
        <v>检查新数仓环境，根据迁移方案选择合适的业务线开展预迁移验证工作（涵盖迁移实施阶段的所有流程节点），及时发现并修复潜在问题。</v>
      </c>
      <c r="E13" s="37">
        <f>'评估基础数据（快捷计算）'!D25</f>
      </c>
      <c r="F13" s="37">
        <f>'评估基础数据（快捷计算）'!F25</f>
      </c>
      <c r="G13" s="36">
        <v>1</v>
      </c>
      <c r="H13" s="36">
        <v>1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>
      <c r="A14" s="34">
        <v>10</v>
      </c>
      <c r="B14" s="34" t="str">
        <v>数仓迁移实施</v>
      </c>
      <c r="C14" s="34" t="str">
        <v>业务迁移阶段</v>
      </c>
      <c r="D14" s="37" t="str">
        <v>将现有数仓的业务脚本迁移到新数仓中，包括序列、表、函数、视图等对象。</v>
      </c>
      <c r="E14" s="37">
        <f>'评估基础数据（快捷计算）'!D26</f>
      </c>
      <c r="F14" s="37">
        <f>'评估基础数据（快捷计算）'!F26</f>
      </c>
      <c r="G14" s="37"/>
      <c r="H14" s="36">
        <v>1</v>
      </c>
      <c r="I14" s="36">
        <v>1</v>
      </c>
      <c r="J14" s="36">
        <v>1</v>
      </c>
      <c r="K14" s="36">
        <v>1</v>
      </c>
      <c r="L14" s="36">
        <v>1</v>
      </c>
      <c r="M14" s="36">
        <v>1</v>
      </c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>
      <c r="A15" s="34">
        <v>11</v>
      </c>
      <c r="B15" s="34"/>
      <c r="C15" s="34" t="str">
        <v>数据迁移阶段</v>
      </c>
      <c r="D15" s="37" t="str">
        <v>将现有数仓的业务数据迁移到新数仓中，包括数据清洗、转换、加载等过程。</v>
      </c>
      <c r="E15" s="37">
        <f>'评估基础数据（快捷计算）'!D27</f>
      </c>
      <c r="F15" s="37">
        <f>'评估基础数据（快捷计算）'!F27</f>
      </c>
      <c r="G15" s="37"/>
      <c r="H15" s="47"/>
      <c r="I15" s="37"/>
      <c r="J15" s="37"/>
      <c r="K15" s="36">
        <v>1</v>
      </c>
      <c r="L15" s="36">
        <v>1</v>
      </c>
      <c r="M15" s="36">
        <v>1</v>
      </c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>
      <c r="A16" s="34">
        <v>12</v>
      </c>
      <c r="B16" s="34"/>
      <c r="C16" s="34" t="str">
        <v>应用迁移阶段</v>
      </c>
      <c r="D16" s="37" t="str">
        <v>根据新数仓的特性，进行数据应用及数仓组件的适配改造，包括调度系统、数据同步组件（ETL）、BI应用、数据服务组件等。</v>
      </c>
      <c r="E16" s="37">
        <f>'评估基础数据（快捷计算）'!D28</f>
      </c>
      <c r="F16" s="37">
        <f>'评估基础数据（快捷计算）'!F28</f>
      </c>
      <c r="G16" s="37"/>
      <c r="H16" s="37"/>
      <c r="I16" s="36">
        <v>1</v>
      </c>
      <c r="J16" s="36">
        <v>1</v>
      </c>
      <c r="K16" s="36">
        <v>1</v>
      </c>
      <c r="L16" s="36">
        <v>1</v>
      </c>
      <c r="M16" s="36">
        <v>1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>
      <c r="A17" s="34">
        <v>13</v>
      </c>
      <c r="B17" s="34"/>
      <c r="C17" s="34" t="str">
        <v>业务校验阶段</v>
      </c>
      <c r="D17" s="37" t="str">
        <v>对迁移后的数据进行深度校验，确保数据的正确性和一致性，如有问题，及时修复。</v>
      </c>
      <c r="E17" s="37">
        <f>'评估基础数据（快捷计算）'!D29</f>
      </c>
      <c r="F17" s="37">
        <f>'评估基础数据（快捷计算）'!F29</f>
      </c>
      <c r="G17" s="37"/>
      <c r="H17" s="37"/>
      <c r="I17" s="37"/>
      <c r="J17" s="36">
        <v>1</v>
      </c>
      <c r="K17" s="36">
        <v>1</v>
      </c>
      <c r="L17" s="36">
        <v>1</v>
      </c>
      <c r="M17" s="36">
        <v>1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>
      <c r="A18" s="34">
        <v>14</v>
      </c>
      <c r="B18" s="34"/>
      <c r="C18" s="34" t="str">
        <v>系统测试阶段</v>
      </c>
      <c r="D18" s="37" t="str">
        <v>对迁移后的新数仓进行全面的测试，包括性能测试、功能测试、安全测试等。</v>
      </c>
      <c r="E18" s="37">
        <f>'评估基础数据（快捷计算）'!D30</f>
      </c>
      <c r="F18" s="37">
        <f>'评估基础数据（快捷计算）'!F30</f>
      </c>
      <c r="G18" s="37"/>
      <c r="H18" s="37"/>
      <c r="I18" s="37"/>
      <c r="J18" s="37"/>
      <c r="K18" s="37"/>
      <c r="L18" s="37"/>
      <c r="M18" s="36">
        <v>1</v>
      </c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>
      <c r="A19" s="34">
        <v>15</v>
      </c>
      <c r="B19" s="34"/>
      <c r="C19" s="34" t="str">
        <v>文档编写阶段</v>
      </c>
      <c r="D19" s="37" t="str">
        <v>编写详细的迁移实施手册和用户手册，包括系统架构、操作指南、安装部署、应急回退、备份还原、双轨并行目标与计划等内容。</v>
      </c>
      <c r="E19" s="37">
        <f>'评估基础数据（快捷计算）'!D31</f>
      </c>
      <c r="F19" s="37">
        <f>'评估基础数据（快捷计算）'!F31</f>
      </c>
      <c r="G19" s="37"/>
      <c r="H19" s="37"/>
      <c r="I19" s="37"/>
      <c r="J19" s="37"/>
      <c r="K19" s="37"/>
      <c r="L19" s="37"/>
      <c r="M19" s="48">
        <v>1</v>
      </c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>
      <c r="A20" s="34">
        <v>16</v>
      </c>
      <c r="B20" s="34" t="str">
        <v>系统试运行</v>
      </c>
      <c r="C20" s="34" t="str">
        <v>系统部署阶段</v>
      </c>
      <c r="D20" s="37" t="str">
        <v>在生产环境中部署数仓系统基础环境，包括MPP数据库集群、调度、ETL、BI报表、数据服务等组件，部署新数仓系统的代码脚本，并进行业务数据的迁移等工作。</v>
      </c>
      <c r="E20" s="37">
        <f>'评估基础数据（快捷计算）'!D32</f>
      </c>
      <c r="F20" s="37">
        <f>'评估基础数据（快捷计算）'!F32</f>
      </c>
      <c r="G20" s="37"/>
      <c r="H20" s="37"/>
      <c r="I20" s="37"/>
      <c r="J20" s="37"/>
      <c r="K20" s="37"/>
      <c r="L20" s="40"/>
      <c r="M20" s="47"/>
      <c r="N20" s="41">
        <v>1</v>
      </c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>
      <c r="A21" s="34">
        <v>17</v>
      </c>
      <c r="B21" s="34"/>
      <c r="C21" s="34" t="str">
        <v>双轨并行阶段</v>
      </c>
      <c r="D21" s="37" t="str">
        <v>将新的数仓上线试运行，模拟正式上线流程，同时持续监控和对比新旧数仓的运行情况，及时发现并解决问题。</v>
      </c>
      <c r="E21" s="37">
        <f>'评估基础数据（快捷计算）'!D33</f>
      </c>
      <c r="F21" s="37">
        <f>'评估基础数据（快捷计算）'!F33</f>
      </c>
      <c r="G21" s="37"/>
      <c r="H21" s="37"/>
      <c r="I21" s="37"/>
      <c r="J21" s="37"/>
      <c r="K21" s="37"/>
      <c r="L21" s="40"/>
      <c r="M21" s="47"/>
      <c r="N21" s="41">
        <v>1</v>
      </c>
      <c r="O21" s="36">
        <v>1</v>
      </c>
      <c r="P21" s="36">
        <v>1</v>
      </c>
      <c r="Q21" s="36">
        <v>1</v>
      </c>
      <c r="R21" s="36">
        <v>1</v>
      </c>
      <c r="S21" s="36">
        <v>1</v>
      </c>
      <c r="T21" s="37"/>
      <c r="U21" s="37"/>
      <c r="V21" s="37"/>
      <c r="W21" s="37"/>
      <c r="X21" s="37"/>
    </row>
    <row r="22">
      <c r="A22" s="34">
        <v>18</v>
      </c>
      <c r="B22" s="34"/>
      <c r="C22" s="34" t="str">
        <v>培训支持阶段</v>
      </c>
      <c r="D22" s="37" t="str">
        <v>为业务人员、运维人员等提供新系统的使用培训，解决他们在使用新系统过程中遇到的问题。</v>
      </c>
      <c r="E22" s="37">
        <f>'评估基础数据（快捷计算）'!D34</f>
      </c>
      <c r="F22" s="37">
        <f>'评估基础数据（快捷计算）'!F34</f>
      </c>
      <c r="G22" s="37"/>
      <c r="H22" s="37"/>
      <c r="I22" s="37"/>
      <c r="J22" s="37"/>
      <c r="K22" s="37"/>
      <c r="L22" s="40"/>
      <c r="M22" s="47"/>
      <c r="N22" s="41">
        <v>1</v>
      </c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>
      <c r="A23" s="34">
        <v>19</v>
      </c>
      <c r="B23" s="34"/>
      <c r="C23" s="34" t="str">
        <v>性能调优阶段</v>
      </c>
      <c r="D23" s="37" t="str">
        <v>根据系统运行情况和使用反馈，对新系统进行持续的优化和改进。</v>
      </c>
      <c r="E23" s="37">
        <f>'评估基础数据（快捷计算）'!D35</f>
      </c>
      <c r="F23" s="37">
        <f>'评估基础数据（快捷计算）'!F35</f>
      </c>
      <c r="G23" s="37"/>
      <c r="H23" s="37"/>
      <c r="I23" s="37"/>
      <c r="J23" s="37"/>
      <c r="K23" s="37"/>
      <c r="L23" s="40"/>
      <c r="M23" s="47"/>
      <c r="N23" s="41">
        <v>1</v>
      </c>
      <c r="O23" s="36">
        <v>1</v>
      </c>
      <c r="P23" s="36">
        <v>1</v>
      </c>
      <c r="Q23" s="36">
        <v>1</v>
      </c>
      <c r="R23" s="36">
        <v>1</v>
      </c>
      <c r="S23" s="36">
        <v>1</v>
      </c>
      <c r="T23" s="37"/>
      <c r="U23" s="37"/>
      <c r="V23" s="37"/>
      <c r="W23" s="37"/>
      <c r="X23" s="37"/>
    </row>
    <row r="24">
      <c r="A24" s="34">
        <v>20</v>
      </c>
      <c r="B24" s="34" t="str">
        <v>交付及运维支持</v>
      </c>
      <c r="C24" s="34" t="str">
        <v>单轨切换阶段</v>
      </c>
      <c r="D24" s="37" t="str">
        <v>将新数仓系统正式切换上线，替换旧数仓系统，同时进行生产环境的监控和维护。</v>
      </c>
      <c r="E24" s="37">
        <f>'评估基础数据（快捷计算）'!D36</f>
      </c>
      <c r="F24" s="37">
        <f>'评估基础数据（快捷计算）'!F36</f>
      </c>
      <c r="G24" s="37"/>
      <c r="H24" s="37"/>
      <c r="I24" s="37"/>
      <c r="J24" s="37"/>
      <c r="K24" s="37"/>
      <c r="L24" s="37"/>
      <c r="M24" s="46"/>
      <c r="N24" s="37"/>
      <c r="O24" s="37"/>
      <c r="P24" s="37"/>
      <c r="Q24" s="37"/>
      <c r="R24" s="37"/>
      <c r="S24" s="36">
        <v>1</v>
      </c>
      <c r="T24" s="37"/>
      <c r="U24" s="37"/>
      <c r="V24" s="37"/>
      <c r="W24" s="37"/>
      <c r="X24" s="37"/>
    </row>
    <row r="25">
      <c r="A25" s="34">
        <v>21</v>
      </c>
      <c r="B25" s="34"/>
      <c r="C25" s="34" t="str">
        <v>项目交付阶段</v>
      </c>
      <c r="D25" s="37" t="str">
        <v>梳理和整合项目实施过程中的材料，进行交付和验收。</v>
      </c>
      <c r="E25" s="37">
        <f>'评估基础数据（快捷计算）'!D37</f>
      </c>
      <c r="F25" s="37">
        <f>'评估基础数据（快捷计算）'!F37</f>
      </c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6">
        <v>1</v>
      </c>
      <c r="T25" s="37"/>
      <c r="U25" s="37"/>
      <c r="V25" s="37"/>
      <c r="W25" s="37"/>
      <c r="X25" s="37"/>
    </row>
    <row r="26">
      <c r="A26" s="34">
        <v>22</v>
      </c>
      <c r="B26" s="34"/>
      <c r="C26" s="34" t="str">
        <v>监控运维阶段</v>
      </c>
      <c r="D26" s="37" t="str">
        <v>对新的数仓系统进行长期的日常监控和维护，及时发现和解决问题。</v>
      </c>
      <c r="E26" s="55" t="str">
        <v>-</v>
      </c>
      <c r="F26" s="37" t="str">
        <v>-</v>
      </c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6">
        <v>1</v>
      </c>
      <c r="U26" s="36">
        <v>1</v>
      </c>
      <c r="V26" s="36">
        <v>1</v>
      </c>
      <c r="W26" s="36"/>
      <c r="X26" s="36"/>
    </row>
    <row r="27">
      <c r="A27" s="4" t="str">
        <v>-</v>
      </c>
      <c r="B27" s="4" t="str">
        <v>合计</v>
      </c>
      <c r="C27" s="4"/>
      <c r="D27" s="50" t="str">
        <v>-</v>
      </c>
      <c r="E27" s="50">
        <f>ROUNDUP(SUM(E9:E26),3)</f>
      </c>
      <c r="F27" s="50"/>
      <c r="G27" s="51" t="str">
        <v>第一阶段</v>
      </c>
      <c r="H27" s="51"/>
      <c r="I27" s="51"/>
      <c r="J27" s="51"/>
      <c r="K27" s="51"/>
      <c r="L27" s="51"/>
      <c r="M27" s="51"/>
      <c r="N27" s="53" t="str">
        <v>第二阶段</v>
      </c>
      <c r="O27" s="53"/>
      <c r="P27" s="53"/>
      <c r="Q27" s="53"/>
      <c r="R27" s="53"/>
      <c r="S27" s="53"/>
      <c r="T27" s="52" t="str">
        <v>第三阶段</v>
      </c>
      <c r="U27" s="52"/>
      <c r="V27" s="52"/>
      <c r="W27" s="52"/>
      <c r="X27" s="52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</row>
  </sheetData>
  <mergeCells>
    <mergeCell ref="A1:X1"/>
    <mergeCell ref="A2:A4"/>
    <mergeCell ref="B2:B4"/>
    <mergeCell ref="C2:C4"/>
    <mergeCell ref="D2:D4"/>
    <mergeCell ref="E2:F2"/>
    <mergeCell ref="G2:X2"/>
    <mergeCell ref="E3:F3"/>
    <mergeCell ref="G3:X3"/>
    <mergeCell ref="B5:B8"/>
    <mergeCell ref="B9:B13"/>
    <mergeCell ref="B14:B19"/>
    <mergeCell ref="B20:B23"/>
    <mergeCell ref="B24:B26"/>
    <mergeCell ref="B27:C27"/>
    <mergeCell ref="G27:M27"/>
    <mergeCell ref="N27:S27"/>
    <mergeCell ref="T27:X27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7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21"/>
    <col collapsed="false" customWidth="true" hidden="false" max="6" min="6" style="0" width="52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66" t="str">
        <v>数据仓库迁移评估：代码迁移、数据迁移、数据校验</v>
      </c>
      <c r="B1" s="66"/>
      <c r="C1" s="66"/>
      <c r="D1" s="66"/>
      <c r="E1" s="66"/>
      <c r="F1" s="66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>
      <c r="A2" s="70" t="str">
        <v>评估项目</v>
      </c>
      <c r="B2" s="70" t="str">
        <v>评估基准（每人天）</v>
      </c>
      <c r="C2" s="79" t="str">
        <v>调研数据</v>
      </c>
      <c r="D2" s="70" t="str">
        <v>评估结果（人天）</v>
      </c>
      <c r="E2" s="70" t="str">
        <v>评估结果（人月）</v>
      </c>
      <c r="F2" s="71" t="str">
        <v>备注说明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</row>
    <row r="3">
      <c r="A3" s="76" t="str">
        <v>汇总</v>
      </c>
      <c r="B3" s="77" t="str">
        <v>-</v>
      </c>
      <c r="C3" s="78" t="str">
        <v>-</v>
      </c>
      <c r="D3" s="75">
        <f>SUM(D4:D10)</f>
      </c>
      <c r="E3" s="75">
        <f>ROUND(D3/21.75,2)</f>
      </c>
      <c r="F3" s="47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</row>
    <row r="4">
      <c r="A4" s="58" t="str">
        <v>表个数（无主键）</v>
      </c>
      <c r="B4" s="47">
        <v>180</v>
      </c>
      <c r="C4" s="59">
        <f>43484-C6-C5</f>
      </c>
      <c r="D4" s="47">
        <f>ROUNDUP(C4/B4,0)</f>
      </c>
      <c r="E4" s="47">
        <f>ROUND(D4/21.75,2)</f>
      </c>
      <c r="F4" s="47" t="str">
        <v>工具+人工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</row>
    <row r="5">
      <c r="A5" s="58" t="str">
        <v>表个数（分区表）</v>
      </c>
      <c r="B5" s="47">
        <v>150</v>
      </c>
      <c r="C5" s="59">
        <v>406</v>
      </c>
      <c r="D5" s="47">
        <f>ROUNDUP(C5/B5,0)</f>
      </c>
      <c r="E5" s="47">
        <f>ROUND(D5/21.75,2)</f>
      </c>
      <c r="F5" s="47" t="str">
        <v>工具+人工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</row>
    <row r="6">
      <c r="A6" s="58" t="str">
        <v>表个数（有主键）</v>
      </c>
      <c r="B6" s="47">
        <v>300</v>
      </c>
      <c r="C6" s="59">
        <v>1593</v>
      </c>
      <c r="D6" s="47">
        <f>ROUNDUP(C6/B6,0)</f>
      </c>
      <c r="E6" s="47">
        <f>ROUND(D6/21.75,2)</f>
      </c>
      <c r="F6" s="47" t="str">
        <v>工具+人工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</row>
    <row r="7">
      <c r="A7" s="58" t="str">
        <v>数据量(TB)</v>
      </c>
      <c r="B7" s="47">
        <f>ROUND((((300/1024/1024)/(1/60/60))*8),2)</f>
      </c>
      <c r="C7" s="59">
        <v>106.22</v>
      </c>
      <c r="D7" s="47">
        <f>ROUNDUP(C7/B7,0)</f>
      </c>
      <c r="E7" s="47">
        <f>ROUND(D7/21.75,2)</f>
      </c>
      <c r="F7" s="47" t="str">
        <v>提供工具：300MB/s（≈1T/h）,假设8h/天可用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</row>
    <row r="8">
      <c r="A8" s="58" t="str">
        <v>函数个数</v>
      </c>
      <c r="B8" s="47">
        <v>10</v>
      </c>
      <c r="C8" s="59">
        <f>427+2266+530</f>
      </c>
      <c r="D8" s="47">
        <f>ROUNDUP(C8/B8,0)</f>
      </c>
      <c r="E8" s="47">
        <f>ROUND(D8/21.75,2)</f>
      </c>
      <c r="F8" s="47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</row>
    <row r="9">
      <c r="A9" s="58" t="str">
        <v>视图个数</v>
      </c>
      <c r="B9" s="47">
        <v>25</v>
      </c>
      <c r="C9" s="59">
        <v>2075</v>
      </c>
      <c r="D9" s="47">
        <f>ROUNDUP(C9/B9,0)</f>
      </c>
      <c r="E9" s="47">
        <f>ROUND(D9/21.75,2)</f>
      </c>
      <c r="F9" s="47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</row>
    <row customHeight="true" ht="19" r="10">
      <c r="A10" s="58" t="str">
        <v>业务校验</v>
      </c>
      <c r="B10" s="47">
        <v>50</v>
      </c>
      <c r="C10" s="59">
        <v>43484</v>
      </c>
      <c r="D10" s="47">
        <f>ROUNDUP(C10/B10,0)</f>
      </c>
      <c r="E10" s="47">
        <f>ROUND(D10/21.75,2)</f>
      </c>
      <c r="F10" s="47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</row>
    <row customHeight="true" ht="19" r="11">
      <c r="A11" s="58" t="str">
        <v>调度任务数</v>
      </c>
      <c r="B11" s="47">
        <v>30</v>
      </c>
      <c r="C11" s="59"/>
      <c r="D11" s="47">
        <f>ROUNDUP(C11/B11,0)</f>
      </c>
      <c r="E11" s="47">
        <f>ROUND(D11/21.75,2)</f>
      </c>
      <c r="F11" s="47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</row>
    <row customHeight="true" ht="19" r="12">
      <c r="A12" s="58" t="str">
        <v>ETL任务数</v>
      </c>
      <c r="B12" s="47">
        <v>10</v>
      </c>
      <c r="C12" s="59"/>
      <c r="D12" s="47">
        <f>ROUNDUP(C12/B12,0)</f>
      </c>
      <c r="E12" s="47">
        <f>ROUND(D12/21.75,2)</f>
      </c>
      <c r="F12" s="47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</row>
    <row r="13">
      <c r="A13" s="58" t="str">
        <v>报表个数</v>
      </c>
      <c r="B13" s="47">
        <v>20</v>
      </c>
      <c r="C13" s="59"/>
      <c r="D13" s="47">
        <f>ROUNDUP(C13/B13,0)</f>
      </c>
      <c r="E13" s="47">
        <f>ROUND(D13/21.75,2)</f>
      </c>
      <c r="F13" s="47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</row>
    <row customHeight="true" ht="19" r="15">
      <c r="A15" s="66" t="str">
        <v>项目评估：</v>
      </c>
      <c r="B15" s="66"/>
      <c r="C15" s="66"/>
      <c r="D15" s="66"/>
      <c r="E15" s="66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</row>
    <row r="16">
      <c r="A16" s="70" t="str">
        <v>里程碑</v>
      </c>
      <c r="B16" s="70" t="str">
        <v>项目阶段</v>
      </c>
      <c r="C16" s="70" t="str">
        <v>评估结果（人天）</v>
      </c>
      <c r="D16" s="70" t="str">
        <v>评估结果（人月）</v>
      </c>
      <c r="E16" s="70" t="str">
        <v>方案选择
（1甲方、2乙方、3原厂）</v>
      </c>
      <c r="F16" s="71" t="str">
        <v>备注说明</v>
      </c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</row>
    <row customHeight="true" ht="19" r="17">
      <c r="A17" s="57" t="str">
        <v>产品交付部署</v>
      </c>
      <c r="B17" s="57" t="str">
        <v>环境信息调研</v>
      </c>
      <c r="C17" s="56">
        <f>IF(E17="方案3",0,3*1*1)</f>
      </c>
      <c r="D17" s="56">
        <f>ROUND(C17/21.75,2)</f>
      </c>
      <c r="E17" s="56" t="str">
        <v>方案2</v>
      </c>
      <c r="F17" s="56">
        <f>IF(E17="方案3","原厂负责交付部署，由原厂评估","乙方负责交付部署，预估3天1人")</f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</row>
    <row customHeight="true" ht="19" r="18">
      <c r="A18" s="57"/>
      <c r="B18" s="57" t="str">
        <v>集群部署规划</v>
      </c>
      <c r="C18" s="56">
        <f>IF(E18="方案3",0,3*1*1)</f>
      </c>
      <c r="D18" s="56">
        <f>ROUND(C18/21.75,2)</f>
      </c>
      <c r="E18" s="56" t="str">
        <v>方案2</v>
      </c>
      <c r="F18" s="56">
        <f>IF(E18="方案3","原厂负责交付部署，由原厂评估","乙方负责交付部署，预估3天1人")</f>
      </c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</row>
    <row r="19">
      <c r="A19" s="57"/>
      <c r="B19" s="57" t="str">
        <v>集群安装部署</v>
      </c>
      <c r="C19" s="56">
        <f>IF(E19="方案3",0,5*1*2)</f>
      </c>
      <c r="D19" s="56">
        <f>ROUND(C19/21.75,2)</f>
      </c>
      <c r="E19" s="56" t="str">
        <v>方案2</v>
      </c>
      <c r="F19" s="56">
        <f>IF(E19="方案3","原厂负责交付部署，由原厂评估","乙方负责交付部署，预估1周2人")</f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</row>
    <row r="20">
      <c r="A20" s="57"/>
      <c r="B20" s="57" t="str">
        <v>集群测试与交付</v>
      </c>
      <c r="C20" s="56">
        <f>IF(E20="方案3",0,5*1*1)</f>
      </c>
      <c r="D20" s="56">
        <f>ROUND(C20/21.75,2)</f>
      </c>
      <c r="E20" s="56" t="str">
        <v>方案2</v>
      </c>
      <c r="F20" s="56">
        <f>IF(E20="方案3","原厂负责交付部署，由原厂评估","乙方负责交付部署，预估1周1人")</f>
      </c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</row>
    <row customHeight="true" ht="19" r="21">
      <c r="A21" s="58" t="str">
        <v>数仓迁移准备</v>
      </c>
      <c r="B21" s="58" t="str">
        <v>调研分析阶段</v>
      </c>
      <c r="C21" s="47">
        <f>5*1*2</f>
      </c>
      <c r="D21" s="47">
        <f>ROUND(C21/21.75,2)</f>
      </c>
      <c r="E21" s="47"/>
      <c r="F21" s="47" t="str">
        <v>1周2人</v>
      </c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</row>
    <row r="22">
      <c r="A22" s="58"/>
      <c r="B22" s="58" t="str">
        <v>方案设计阶段</v>
      </c>
      <c r="C22" s="47">
        <f>5*1*1</f>
      </c>
      <c r="D22" s="47">
        <f>ROUND(C22/21.75,2)</f>
      </c>
      <c r="E22" s="47"/>
      <c r="F22" s="47" t="str">
        <v>1周1人</v>
      </c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</row>
    <row customHeight="true" ht="19" r="23">
      <c r="A23" s="58"/>
      <c r="B23" s="58" t="str">
        <v>计划制定阶段</v>
      </c>
      <c r="C23" s="47">
        <f>2*1</f>
      </c>
      <c r="D23" s="47">
        <f>ROUND(C23/21.75,2)</f>
      </c>
      <c r="E23" s="47"/>
      <c r="F23" s="47" t="str">
        <v>2天1人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</row>
    <row r="24">
      <c r="A24" s="58"/>
      <c r="B24" s="58" t="str">
        <v>环境准备阶段</v>
      </c>
      <c r="C24" s="47">
        <f>5*1*2</f>
      </c>
      <c r="D24" s="47">
        <f>ROUND(C24/21.75,2)</f>
      </c>
      <c r="E24" s="47"/>
      <c r="F24" s="47" t="str">
        <v>1周2人</v>
      </c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</row>
    <row r="25">
      <c r="A25" s="58"/>
      <c r="B25" s="58" t="str">
        <v>预迁移验证阶段</v>
      </c>
      <c r="C25" s="47">
        <v>0</v>
      </c>
      <c r="D25" s="47">
        <f>ROUND(C25/21.75,2)</f>
      </c>
      <c r="E25" s="47"/>
      <c r="F25" s="47" t="str">
        <v>2周3人（非必选）</v>
      </c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</row>
    <row r="26">
      <c r="A26" s="58" t="str">
        <v>数仓迁移实施</v>
      </c>
      <c r="B26" s="58" t="str">
        <v>业务迁移阶段</v>
      </c>
      <c r="C26" s="47">
        <f>SUM(D4,D5,D6,D8,D9)+5</f>
      </c>
      <c r="D26" s="47">
        <f>ROUND(C26/21.75,2)</f>
      </c>
      <c r="E26" s="47"/>
      <c r="F26" s="47">
        <f>"表"&amp;C4+C5+C6&amp;"、函数"&amp;C8&amp;"、视图"&amp;C9&amp;"，工具+人工"</f>
      </c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</row>
    <row r="27">
      <c r="A27" s="58"/>
      <c r="B27" s="80" t="str">
        <v>数据迁移阶段</v>
      </c>
      <c r="C27" s="81">
        <f>IF(E27="方案1",10,D7)</f>
      </c>
      <c r="D27" s="81">
        <f>ROUND(C27/21.75,2)</f>
      </c>
      <c r="E27" s="47" t="str">
        <v>方案1</v>
      </c>
      <c r="F27" s="81">
        <f>IF(E27="方案1","甲方负责，乙方提供技术支持","乙方负责，数据"&amp;C7&amp;"T，"&amp;F7)</f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</row>
    <row r="28">
      <c r="A28" s="58"/>
      <c r="B28" s="80" t="str">
        <v>应用迁移阶段</v>
      </c>
      <c r="C28" s="81">
        <f>IF(E28="方案1",60,SUM(D11:D13))</f>
      </c>
      <c r="D28" s="81">
        <f>ROUND(C28/21.75,2)</f>
      </c>
      <c r="E28" s="47" t="str">
        <v>方案1</v>
      </c>
      <c r="F28" s="81">
        <f>IF(E28="方案1","甲方负责（含调度、ETL、报表等数据库外围），乙方提供技术支持","乙方负责，甲方参与梳理和评审，根据工作量评估")</f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</row>
    <row customHeight="true" ht="19" r="29">
      <c r="A29" s="58"/>
      <c r="B29" s="80" t="str">
        <v>业务校验阶段</v>
      </c>
      <c r="C29" s="81">
        <f>IF(E29="方案1",60,D10)</f>
      </c>
      <c r="D29" s="81">
        <f>ROUND(C29/21.75,2)</f>
      </c>
      <c r="E29" s="47" t="str">
        <v>方案1</v>
      </c>
      <c r="F29" s="81">
        <f>IF(E29="方案1","甲方负责，乙方提供工具及技术支持","乙方负责，甲方参与评审，根据工作量评估")</f>
      </c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</row>
    <row customHeight="true" ht="19" r="30">
      <c r="A30" s="58"/>
      <c r="B30" s="58" t="str">
        <v>系统测试阶段</v>
      </c>
      <c r="C30" s="47">
        <f>5*2*3</f>
      </c>
      <c r="D30" s="47">
        <f>ROUND(C30/21.75,2)</f>
      </c>
      <c r="E30" s="47"/>
      <c r="F30" s="47" t="str">
        <v>2周3人</v>
      </c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</row>
    <row customHeight="true" ht="19" r="31">
      <c r="A31" s="58"/>
      <c r="B31" s="58" t="str">
        <v>文档编写阶段</v>
      </c>
      <c r="C31" s="47">
        <f>3*2</f>
      </c>
      <c r="D31" s="47">
        <f>ROUND(C31/21.75,2)</f>
      </c>
      <c r="E31" s="47"/>
      <c r="F31" s="47" t="str">
        <v>3天2人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</row>
    <row customHeight="true" ht="19" r="32">
      <c r="A32" s="58" t="str">
        <v>系统试运行</v>
      </c>
      <c r="B32" s="34" t="str">
        <v>系统部署阶段</v>
      </c>
      <c r="C32" s="47">
        <f>2*2</f>
      </c>
      <c r="D32" s="47">
        <f>ROUND(C32/21.75,2)</f>
      </c>
      <c r="E32" s="47"/>
      <c r="F32" s="47" t="str">
        <v>2天2人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>
      <c r="A33" s="58"/>
      <c r="B33" s="34" t="str">
        <v>双轨并行阶段</v>
      </c>
      <c r="C33" s="47">
        <f>21.75*2*3</f>
      </c>
      <c r="D33" s="47">
        <f>ROUND(C33/21.75,2)</f>
      </c>
      <c r="E33" s="47"/>
      <c r="F33" s="47" t="str">
        <v>3个月2人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customHeight="true" ht="19" r="34">
      <c r="A34" s="58"/>
      <c r="B34" s="34" t="str">
        <v>培训支持阶段</v>
      </c>
      <c r="C34" s="47">
        <v>3</v>
      </c>
      <c r="D34" s="47">
        <f>ROUND(C34/21.75,2)</f>
      </c>
      <c r="E34" s="47"/>
      <c r="F34" s="47" t="str">
        <v>假设3次</v>
      </c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</row>
    <row customHeight="true" ht="19" r="35">
      <c r="A35" s="58"/>
      <c r="B35" s="34" t="str">
        <v>性能调优阶段</v>
      </c>
      <c r="C35" s="47">
        <v>0</v>
      </c>
      <c r="D35" s="47">
        <f>ROUND(C35/21.75,2)</f>
      </c>
      <c r="E35" s="47"/>
      <c r="F35" s="47" t="str">
        <v>复用并行期资源</v>
      </c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</row>
    <row r="36">
      <c r="A36" s="58" t="str">
        <v>项目交付</v>
      </c>
      <c r="B36" s="58" t="str">
        <v>单轨切换阶段</v>
      </c>
      <c r="C36" s="47">
        <f>2*2</f>
      </c>
      <c r="D36" s="47">
        <f>ROUND(C36/21.75,2)</f>
      </c>
      <c r="E36" s="47"/>
      <c r="F36" s="47" t="str">
        <v>2天2人</v>
      </c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</row>
    <row r="37">
      <c r="A37" s="58"/>
      <c r="B37" s="58" t="str">
        <v>项目交付阶段</v>
      </c>
      <c r="C37" s="47">
        <f>2*2</f>
      </c>
      <c r="D37" s="47">
        <f>ROUND(C37/21.75,2)</f>
      </c>
      <c r="E37" s="47"/>
      <c r="F37" s="47" t="str">
        <v>2天2人</v>
      </c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</row>
    <row r="38">
      <c r="A38" s="71" t="str">
        <v>合计（不含部署）</v>
      </c>
      <c r="B38" s="71"/>
      <c r="C38" s="71">
        <f>SUM(C21:C37)</f>
      </c>
      <c r="D38" s="71">
        <f>SUM(D21:D37)</f>
      </c>
      <c r="E38" s="71"/>
      <c r="F38" s="71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</row>
    <row r="39">
      <c r="A39" s="65" t="str">
        <v>合计（含部署）</v>
      </c>
      <c r="B39" s="65"/>
      <c r="C39" s="65">
        <f>SUM(C17:C37)</f>
      </c>
      <c r="D39" s="65">
        <f>SUM(D17:D37)</f>
      </c>
      <c r="E39" s="65"/>
      <c r="F39" s="65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</row>
    <row r="40">
      <c r="A40" s="71" t="str">
        <v>合计（不含部署）占比1/3</v>
      </c>
      <c r="B40" s="71"/>
      <c r="C40" s="71">
        <f>ROUNDUP((C26+C27+C28+C29)/3+SUM(C21:C25)+SUM(C30:C37),2)</f>
      </c>
      <c r="D40" s="71">
        <f>ROUNDUP((D26+D27+D28+D29)/3+SUM(D21:D25)+SUM(D30:D37),2)</f>
      </c>
      <c r="E40" s="71"/>
      <c r="F40" s="71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</row>
    <row r="41">
      <c r="A41" s="65" t="str">
        <v>合计（含部署）占比1/3</v>
      </c>
      <c r="B41" s="65"/>
      <c r="C41" s="65">
        <f>ROUNDUP((C26+C27+C28+C29)/3+SUM(C17:C25)+SUM(C30:C37),2)</f>
      </c>
      <c r="D41" s="65">
        <f>ROUNDUP((D26+D27+D28+D29)/3+SUM(D17:D25)+SUM(D30:D37),2)</f>
      </c>
      <c r="E41" s="65"/>
      <c r="F41" s="65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</row>
    <row r="43">
      <c r="A43" s="54"/>
      <c r="B43" s="54"/>
      <c r="C43" s="54"/>
      <c r="D43" s="54"/>
      <c r="E43" s="54"/>
      <c r="F43" s="54"/>
      <c r="G43" s="60" t="str">
        <v>报价估算</v>
      </c>
      <c r="H43" s="60"/>
      <c r="I43" s="61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</row>
    <row r="44">
      <c r="A44" s="54"/>
      <c r="B44" s="54"/>
      <c r="C44" s="54"/>
      <c r="D44" s="54"/>
      <c r="E44" s="54"/>
      <c r="F44" s="54"/>
      <c r="G44" s="62" t="str">
        <v>分类</v>
      </c>
      <c r="H44" s="64" t="str">
        <v>单价</v>
      </c>
      <c r="I44" s="63" t="str">
        <v>总价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</row>
    <row r="45">
      <c r="A45" s="54"/>
      <c r="B45" s="54"/>
      <c r="C45" s="54"/>
      <c r="D45" s="54"/>
      <c r="E45" s="54"/>
      <c r="F45" s="54"/>
      <c r="G45" s="74" t="str">
        <v>第一类</v>
      </c>
      <c r="H45" s="72">
        <v>40000</v>
      </c>
      <c r="I45" s="73">
        <f>$D$38*H45</f>
      </c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</row>
    <row r="46">
      <c r="A46" s="54"/>
      <c r="B46" s="54"/>
      <c r="C46" s="54"/>
      <c r="D46" s="54"/>
      <c r="E46" s="54"/>
      <c r="F46" s="54"/>
      <c r="G46" s="74" t="str">
        <v>第二类</v>
      </c>
      <c r="H46" s="72">
        <v>35000</v>
      </c>
      <c r="I46" s="73">
        <f>$D$38*H46</f>
      </c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</row>
    <row r="47">
      <c r="A47" s="54"/>
      <c r="B47" s="54"/>
      <c r="C47" s="54"/>
      <c r="D47" s="54"/>
      <c r="E47" s="54"/>
      <c r="F47" s="54"/>
      <c r="G47" s="69" t="str">
        <v>第三类</v>
      </c>
      <c r="H47" s="67">
        <v>30000</v>
      </c>
      <c r="I47" s="68">
        <f>$D$38*H47</f>
      </c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</row>
  </sheetData>
  <mergeCells>
    <mergeCell ref="A1:E1"/>
    <mergeCell ref="A15:E15"/>
    <mergeCell ref="A17:A20"/>
    <mergeCell ref="A21:A25"/>
    <mergeCell ref="A26:A31"/>
    <mergeCell ref="A32:A35"/>
    <mergeCell ref="A36:A37"/>
    <mergeCell ref="A38:B38"/>
    <mergeCell ref="A39:B39"/>
    <mergeCell ref="A40:B40"/>
    <mergeCell ref="A41:B41"/>
    <mergeCell ref="G43:I43"/>
  </mergeCells>
  <dataValidations count="1">
    <dataValidation allowBlank="true" errorStyle="stop" showErrorMessage="true" sqref="E17:E37" type="list">
      <formula1>"方案1,方案2,方案3"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