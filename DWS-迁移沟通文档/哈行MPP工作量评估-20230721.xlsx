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345" windowHeight="12330"/>
  </bookViews>
  <sheets>
    <sheet name="定制化工作内容及范围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<sst xmlns="http://schemas.openxmlformats.org/spreadsheetml/2006/main" count="56" uniqueCount="46">
  <si>
    <t>任务数</t>
  </si>
  <si>
    <t>单任务投入（人天）</t>
  </si>
  <si>
    <t>合计工作量（人天）</t>
  </si>
  <si>
    <t>备注说明</t>
  </si>
  <si>
    <t>ORACLE一体机迁移</t>
  </si>
  <si>
    <t>ODS
（oracle2mpp）</t>
  </si>
  <si>
    <t>infa作业转为存储过程</t>
  </si>
  <si>
    <t>有新增，相对简单，load数据为主</t>
  </si>
  <si>
    <t>存储过程迁移</t>
  </si>
  <si>
    <t>专有函数改造</t>
  </si>
  <si>
    <t>表数量/体量</t>
  </si>
  <si>
    <t>3294/28T</t>
  </si>
  <si>
    <t>需要做拉链的表数量</t>
  </si>
  <si>
    <t>需要做动静分离的大表</t>
  </si>
  <si>
    <t>反抽(导出文件)作业</t>
  </si>
  <si>
    <t>公共shell脚本，包含：切日脚本，刷参数脚本，调用infa脚本等等</t>
  </si>
  <si>
    <t>EDW
（oracle2mpp）</t>
  </si>
  <si>
    <t>最难改的部分，近期没有新增，只有修改</t>
  </si>
  <si>
    <t>3075/32T</t>
  </si>
  <si>
    <t>公共shell脚本
包含：切日脚本，刷参数脚本，调用infa脚本等等</t>
  </si>
  <si>
    <t>大数据平台部分功能迁移</t>
  </si>
  <si>
    <t>信用卡数据集市
（华为elk2MPP）</t>
  </si>
  <si>
    <t>存储过程</t>
  </si>
  <si>
    <t>专有函数待统计，主要是日期类的计算。</t>
  </si>
  <si>
    <t>华为GDS快速加载作业</t>
  </si>
  <si>
    <t>反抽(导出文件)</t>
  </si>
  <si>
    <t>1600/4T</t>
  </si>
  <si>
    <t>贴源表都有拉链，与数据平台重复率待统计</t>
  </si>
  <si>
    <t>外部数据集市
（hive2MPP，均为标准sql）</t>
  </si>
  <si>
    <t>loader作业（华为大数据平台上专用etl工具，从mysql直接对接到hive表）</t>
  </si>
  <si>
    <t>770/3.6T</t>
  </si>
  <si>
    <t>需要将大数据平台中流水结果推送到MPP上，是否有工具直连？</t>
  </si>
  <si>
    <t xml:space="preserve">数据分析能力迁移 </t>
  </si>
  <si>
    <t>数据建模平台
（oracle2mpp，需要支持数据分析能力）</t>
  </si>
  <si>
    <t>内存256 CPU Intel Xeon E5-26440 2.6GHZ,8核</t>
  </si>
  <si>
    <t>1144/3T</t>
  </si>
  <si>
    <t>迁移后，可复用数据平台中表，可节省600G存储</t>
  </si>
  <si>
    <t>其他功能</t>
  </si>
  <si>
    <t>机构拆分
注：按不同机构号将文件拆分成多个文件</t>
  </si>
  <si>
    <t>全增量
注:按不同sql，将ods库数据同步到edw库的一套程序；若后期ods和edw同库，则需将edw程序中涉及全增量表的部分优化掉</t>
  </si>
  <si>
    <t>MSTR报表展示</t>
  </si>
  <si>
    <t>MSTR报表下载(含dat和excel)</t>
  </si>
  <si>
    <t>调度工具迁移作业数量</t>
  </si>
  <si>
    <t>迁移后数据量70+未来5年每年增量10%=113T</t>
  </si>
  <si>
    <t>合计（人天）</t>
  </si>
  <si>
    <t>合计（人月）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</si>
</sst>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4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C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 diagonalDown="1">
      <left style="thin">
        <color auto="1"/>
      </left>
      <right/>
      <top style="thin">
        <color auto="1"/>
      </top>
      <bottom style="thin">
        <color auto="1"/>
      </bottom>
      <diagonal style="thin">
        <color auto="1"/>
      </diagonal>
    </border>
    <border diagonalUp="1"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Up="1"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4" borderId="1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4" applyNumberFormat="0" applyAlignment="0" applyProtection="0">
      <alignment vertical="center"/>
    </xf>
    <xf numFmtId="0" fontId="14" fillId="6" borderId="15" applyNumberFormat="0" applyAlignment="0" applyProtection="0">
      <alignment vertical="center"/>
    </xf>
    <xf numFmtId="0" fontId="15" fillId="6" borderId="14" applyNumberFormat="0" applyAlignment="0" applyProtection="0">
      <alignment vertical="center"/>
    </xf>
    <xf numFmtId="0" fontId="16" fillId="7" borderId="16" applyNumberFormat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34">
    <xf numFmtId="0" fontId="0" fillId="0" borderId="0" xfId="0">
      <alignment vertical="center"/>
    </xf>
    <xf numFmtId="0" fontId="1" fillId="2" borderId="0" xfId="49" applyFill="1">
      <alignment vertical="center"/>
    </xf>
    <xf numFmtId="0" fontId="1" fillId="0" borderId="0" xfId="49">
      <alignment vertical="center"/>
    </xf>
    <xf numFmtId="0" fontId="1" fillId="0" borderId="0" xfId="49" applyAlignment="1">
      <alignment horizontal="center" vertical="center"/>
    </xf>
    <xf numFmtId="0" fontId="1" fillId="3" borderId="0" xfId="49" applyFill="1" applyAlignment="1">
      <alignment horizontal="center" vertical="center"/>
    </xf>
    <xf numFmtId="0" fontId="1" fillId="3" borderId="1" xfId="49" applyFill="1" applyBorder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1" fillId="0" borderId="1" xfId="49" applyBorder="1" applyAlignment="1">
      <alignment horizontal="center" vertical="center"/>
    </xf>
    <xf numFmtId="0" fontId="1" fillId="0" borderId="2" xfId="49" applyBorder="1" applyAlignment="1">
      <alignment horizontal="center" vertical="center" wrapText="1"/>
    </xf>
    <xf numFmtId="0" fontId="1" fillId="0" borderId="1" xfId="49" applyBorder="1">
      <alignment vertical="center"/>
    </xf>
    <xf numFmtId="0" fontId="1" fillId="0" borderId="3" xfId="49" applyBorder="1" applyAlignment="1">
      <alignment horizontal="center" vertical="center"/>
    </xf>
    <xf numFmtId="0" fontId="1" fillId="0" borderId="4" xfId="49" applyBorder="1" applyAlignment="1">
      <alignment horizontal="center" vertical="center"/>
    </xf>
    <xf numFmtId="176" fontId="1" fillId="0" borderId="1" xfId="49" applyNumberFormat="1" applyBorder="1" applyAlignment="1">
      <alignment horizontal="center" vertical="center"/>
    </xf>
    <xf numFmtId="0" fontId="1" fillId="0" borderId="5" xfId="49" applyBorder="1" applyAlignment="1">
      <alignment horizontal="center" vertical="center"/>
    </xf>
    <xf numFmtId="0" fontId="1" fillId="0" borderId="4" xfId="49" applyBorder="1" applyAlignment="1">
      <alignment vertical="center" wrapText="1"/>
    </xf>
    <xf numFmtId="0" fontId="1" fillId="0" borderId="0" xfId="49" applyAlignment="1">
      <alignment vertical="center" wrapText="1"/>
    </xf>
    <xf numFmtId="0" fontId="1" fillId="0" borderId="1" xfId="49" applyBorder="1" applyAlignment="1">
      <alignment vertical="center" wrapText="1"/>
    </xf>
    <xf numFmtId="0" fontId="1" fillId="0" borderId="4" xfId="49" applyBorder="1" applyAlignment="1">
      <alignment horizontal="center" vertical="center" wrapText="1"/>
    </xf>
    <xf numFmtId="0" fontId="3" fillId="0" borderId="0" xfId="49" applyFont="1" applyAlignment="1">
      <alignment vertical="center" wrapText="1"/>
    </xf>
    <xf numFmtId="0" fontId="1" fillId="2" borderId="6" xfId="49" applyFill="1" applyBorder="1" applyAlignment="1">
      <alignment horizontal="center" vertical="center" wrapText="1"/>
    </xf>
    <xf numFmtId="0" fontId="1" fillId="2" borderId="7" xfId="49" applyFill="1" applyBorder="1" applyAlignment="1">
      <alignment vertical="center" wrapText="1"/>
    </xf>
    <xf numFmtId="0" fontId="1" fillId="2" borderId="8" xfId="49" applyFill="1" applyBorder="1" applyAlignment="1">
      <alignment horizontal="center" vertical="center"/>
    </xf>
    <xf numFmtId="0" fontId="1" fillId="2" borderId="1" xfId="49" applyFill="1" applyBorder="1" applyAlignment="1">
      <alignment horizontal="center" vertical="center"/>
    </xf>
    <xf numFmtId="0" fontId="1" fillId="2" borderId="0" xfId="49" applyFill="1" applyAlignment="1">
      <alignment vertical="center" wrapText="1"/>
    </xf>
    <xf numFmtId="0" fontId="1" fillId="2" borderId="9" xfId="49" applyFill="1" applyBorder="1" applyAlignment="1">
      <alignment horizontal="center" vertical="center" wrapText="1"/>
    </xf>
    <xf numFmtId="0" fontId="1" fillId="2" borderId="10" xfId="49" applyFill="1" applyBorder="1" applyAlignment="1">
      <alignment horizontal="center" vertical="center" wrapText="1"/>
    </xf>
    <xf numFmtId="0" fontId="3" fillId="2" borderId="0" xfId="49" applyFont="1" applyFill="1" applyAlignment="1">
      <alignment vertical="center" wrapText="1"/>
    </xf>
    <xf numFmtId="0" fontId="1" fillId="2" borderId="6" xfId="49" applyFill="1" applyBorder="1" applyAlignment="1">
      <alignment horizontal="center" vertical="center"/>
    </xf>
    <xf numFmtId="0" fontId="1" fillId="2" borderId="0" xfId="49" applyFill="1" applyAlignment="1">
      <alignment horizontal="left" vertical="top" wrapText="1"/>
    </xf>
    <xf numFmtId="0" fontId="1" fillId="2" borderId="10" xfId="49" applyFill="1" applyBorder="1" applyAlignment="1">
      <alignment horizontal="center" vertical="center"/>
    </xf>
    <xf numFmtId="0" fontId="1" fillId="2" borderId="7" xfId="49" applyFill="1" applyBorder="1" applyAlignment="1">
      <alignment horizontal="left" vertical="center" wrapText="1"/>
    </xf>
    <xf numFmtId="0" fontId="1" fillId="0" borderId="1" xfId="49" applyBorder="1" applyAlignment="1">
      <alignment horizontal="left" vertical="center"/>
    </xf>
    <xf numFmtId="0" fontId="4" fillId="0" borderId="1" xfId="49" applyFont="1" applyBorder="1" applyAlignment="1">
      <alignment horizontal="center" vertical="center"/>
    </xf>
    <xf numFmtId="49" fontId="4" fillId="0" borderId="1" xfId="49" applyNumberFormat="1" applyFon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selection activeCell="G1" sqref="G1"/>
    </sheetView>
  </sheetViews>
  <sheetFormatPr defaultColWidth="10.6666666666667" defaultRowHeight="14.25" outlineLevelCol="7"/>
  <cols>
    <col min="1" max="2" width="23.3333333333333" style="2" customWidth="1"/>
    <col min="3" max="3" width="36.3333333333333" style="2" customWidth="1"/>
    <col min="4" max="4" width="12.6666666666667" style="3" customWidth="1"/>
    <col min="5" max="5" width="20.1666666666667" style="3" customWidth="1"/>
    <col min="6" max="6" width="20.6666666666667" style="3" customWidth="1"/>
    <col min="7" max="7" width="39.1666666666667" style="2" customWidth="1"/>
    <col min="8" max="8" width="34.8333333333333" style="2" customWidth="1"/>
    <col min="9" max="16384" width="10.6666666666667" style="2"/>
  </cols>
  <sheetData>
    <row r="1" spans="1:7">
      <c r="D1" s="4" t="s">
        <v>0</v>
      </c>
      <c r="E1" s="5" t="s">
        <v>1</v>
      </c>
      <c r="F1" s="5" t="s">
        <v>2</v>
      </c>
      <c r="G1" s="6" t="s">
        <v>3</v>
      </c>
    </row>
    <row r="2" spans="1:7">
      <c r="A2" s="7" t="s">
        <v>4</v>
      </c>
      <c r="B2" s="8" t="s">
        <v>5</v>
      </c>
      <c r="C2" s="9" t="s">
        <v>6</v>
      </c>
      <c r="D2" s="10">
        <f>5+935+935</f>
        <v>1875</v>
      </c>
      <c r="E2" s="7">
        <v>0.1</v>
      </c>
      <c r="F2" s="7">
        <v>187</v>
      </c>
      <c r="G2" s="2" t="s">
        <v>7</v>
      </c>
    </row>
    <row r="3" spans="1:7">
      <c r="A3" s="7"/>
      <c r="B3" s="11"/>
      <c r="C3" s="9" t="s">
        <v>8</v>
      </c>
      <c r="D3" s="10">
        <f>69+16+26+24</f>
        <v>135</v>
      </c>
      <c r="E3" s="7">
        <v>0.9</v>
      </c>
      <c r="F3" s="7">
        <f>D3*E3</f>
        <v>121.5</v>
      </c>
    </row>
    <row r="4" spans="1:7">
      <c r="A4" s="7"/>
      <c r="B4" s="11"/>
      <c r="C4" s="9" t="s">
        <v>9</v>
      </c>
      <c r="D4" s="10">
        <v>60</v>
      </c>
      <c r="E4" s="7">
        <v>1</v>
      </c>
      <c r="F4" s="7">
        <v>60</v>
      </c>
    </row>
    <row r="5" spans="1:7">
      <c r="A5" s="7"/>
      <c r="B5" s="11"/>
      <c r="C5" s="9" t="s">
        <v>10</v>
      </c>
      <c r="D5" s="10" t="s">
        <v>11</v>
      </c>
      <c r="E5" s="7">
        <v>5</v>
      </c>
      <c r="F5" s="7">
        <v>5</v>
      </c>
    </row>
    <row r="6" spans="1:7">
      <c r="A6" s="7"/>
      <c r="B6" s="11"/>
      <c r="C6" s="9" t="s">
        <v>12</v>
      </c>
      <c r="D6" s="10">
        <v>300</v>
      </c>
      <c r="E6" s="7"/>
      <c r="F6" s="7"/>
    </row>
    <row r="7" spans="1:7">
      <c r="A7" s="7"/>
      <c r="B7" s="11"/>
      <c r="C7" s="9" t="s">
        <v>13</v>
      </c>
      <c r="D7" s="10">
        <v>3</v>
      </c>
      <c r="E7" s="7"/>
      <c r="F7" s="7"/>
    </row>
    <row r="8" spans="1:7">
      <c r="A8" s="7"/>
      <c r="B8" s="11"/>
      <c r="C8" s="9" t="s">
        <v>14</v>
      </c>
      <c r="D8" s="10">
        <f>278+1315</f>
        <v>1593</v>
      </c>
      <c r="E8" s="12">
        <f>F8/D8</f>
        <v>0.0251098556183302</v>
      </c>
      <c r="F8" s="7">
        <v>40</v>
      </c>
    </row>
    <row r="9" ht="28.5" spans="1:7">
      <c r="A9" s="7"/>
      <c r="B9" s="13"/>
      <c r="C9" s="14" t="s">
        <v>15</v>
      </c>
      <c r="D9" s="10">
        <v>15</v>
      </c>
      <c r="E9" s="7">
        <v>2</v>
      </c>
      <c r="F9" s="7">
        <v>30</v>
      </c>
    </row>
    <row r="10" spans="1:7">
      <c r="A10" s="7"/>
      <c r="B10" s="8" t="s">
        <v>16</v>
      </c>
      <c r="C10" s="9" t="s">
        <v>6</v>
      </c>
      <c r="D10" s="10">
        <v>983</v>
      </c>
      <c r="E10" s="7">
        <v>1</v>
      </c>
      <c r="F10" s="7">
        <f>D10*E10</f>
        <v>983</v>
      </c>
      <c r="G10" s="15" t="s">
        <v>17</v>
      </c>
    </row>
    <row r="11" spans="1:7">
      <c r="A11" s="7"/>
      <c r="B11" s="11"/>
      <c r="C11" s="9" t="s">
        <v>8</v>
      </c>
      <c r="D11" s="10">
        <v>373</v>
      </c>
      <c r="E11" s="7">
        <v>0.9</v>
      </c>
      <c r="F11" s="7">
        <f>D11*E11</f>
        <v>335.7</v>
      </c>
      <c r="G11" s="15"/>
    </row>
    <row r="12" spans="1:7">
      <c r="A12" s="7"/>
      <c r="B12" s="11"/>
      <c r="C12" s="9" t="s">
        <v>9</v>
      </c>
      <c r="D12" s="10">
        <v>34</v>
      </c>
      <c r="E12" s="7">
        <v>2</v>
      </c>
      <c r="F12" s="7">
        <f>D12*E12</f>
        <v>68</v>
      </c>
      <c r="G12" s="15"/>
    </row>
    <row r="13" spans="1:7">
      <c r="A13" s="7"/>
      <c r="B13" s="11"/>
      <c r="C13" s="9" t="s">
        <v>10</v>
      </c>
      <c r="D13" s="10" t="s">
        <v>18</v>
      </c>
      <c r="E13" s="7">
        <v>10</v>
      </c>
      <c r="F13" s="7">
        <v>10</v>
      </c>
      <c r="G13" s="15"/>
    </row>
    <row r="14" spans="1:7">
      <c r="A14" s="7"/>
      <c r="B14" s="11"/>
      <c r="C14" s="9" t="s">
        <v>14</v>
      </c>
      <c r="D14" s="10">
        <v>199</v>
      </c>
      <c r="E14" s="7">
        <v>0.1</v>
      </c>
      <c r="F14" s="7">
        <v>19</v>
      </c>
      <c r="G14" s="15"/>
    </row>
    <row r="15" ht="42.75" spans="1:7">
      <c r="A15" s="7"/>
      <c r="B15" s="13"/>
      <c r="C15" s="16" t="s">
        <v>19</v>
      </c>
      <c r="D15" s="10">
        <v>16</v>
      </c>
      <c r="E15" s="7">
        <v>1</v>
      </c>
      <c r="F15" s="7">
        <f>D15*E15</f>
        <v>16</v>
      </c>
      <c r="G15" s="15"/>
    </row>
    <row r="16" spans="1:7">
      <c r="A16" s="7" t="s">
        <v>20</v>
      </c>
      <c r="B16" s="17" t="s">
        <v>21</v>
      </c>
      <c r="C16" s="16" t="s">
        <v>22</v>
      </c>
      <c r="D16" s="10">
        <v>1000</v>
      </c>
      <c r="E16" s="7">
        <v>0.1</v>
      </c>
      <c r="F16" s="7">
        <f>D16*E16</f>
        <v>100</v>
      </c>
      <c r="G16" s="18" t="s">
        <v>23</v>
      </c>
    </row>
    <row r="17" spans="1:8">
      <c r="A17" s="7"/>
      <c r="B17" s="11"/>
      <c r="C17" s="16" t="s">
        <v>24</v>
      </c>
      <c r="D17" s="10">
        <v>800</v>
      </c>
      <c r="E17" s="7">
        <v>0.1</v>
      </c>
      <c r="F17" s="7">
        <f>D17*E17</f>
        <v>80</v>
      </c>
      <c r="G17" s="15"/>
    </row>
    <row r="18" ht="49" customHeight="1" spans="1:8">
      <c r="A18" s="7"/>
      <c r="B18" s="11"/>
      <c r="C18" s="9" t="s">
        <v>25</v>
      </c>
      <c r="D18" s="10">
        <v>360</v>
      </c>
      <c r="E18" s="7">
        <v>0.1</v>
      </c>
      <c r="F18" s="7">
        <f>D18*E18</f>
        <v>36</v>
      </c>
      <c r="G18" s="15"/>
    </row>
    <row r="19" spans="1:8">
      <c r="A19" s="7"/>
      <c r="B19" s="13"/>
      <c r="C19" s="16" t="s">
        <v>10</v>
      </c>
      <c r="D19" s="10" t="s">
        <v>26</v>
      </c>
      <c r="E19" s="7">
        <v>5</v>
      </c>
      <c r="F19" s="7">
        <v>5</v>
      </c>
      <c r="G19" s="18" t="s">
        <v>27</v>
      </c>
    </row>
    <row r="20" s="1" customFormat="1" spans="1:8">
      <c r="A20" s="7"/>
      <c r="B20" s="19" t="s">
        <v>28</v>
      </c>
      <c r="C20" s="20" t="s">
        <v>22</v>
      </c>
      <c r="D20" s="21">
        <v>400</v>
      </c>
      <c r="E20" s="22"/>
      <c r="F20" s="22"/>
      <c r="G20" s="23"/>
    </row>
    <row r="21" s="1" customFormat="1" ht="28.5" spans="1:8">
      <c r="A21" s="7"/>
      <c r="B21" s="24"/>
      <c r="C21" s="20" t="s">
        <v>29</v>
      </c>
      <c r="D21" s="21">
        <v>116</v>
      </c>
      <c r="E21" s="22"/>
      <c r="F21" s="22"/>
      <c r="G21" s="23"/>
    </row>
    <row r="22" s="1" customFormat="1" ht="28.5" spans="1:8">
      <c r="A22" s="7"/>
      <c r="B22" s="25"/>
      <c r="C22" s="20" t="s">
        <v>10</v>
      </c>
      <c r="D22" s="21" t="s">
        <v>30</v>
      </c>
      <c r="E22" s="22"/>
      <c r="F22" s="22"/>
      <c r="G22" s="26" t="s">
        <v>31</v>
      </c>
    </row>
    <row r="23" s="1" customFormat="1" ht="28.5" spans="1:8">
      <c r="A23" s="27" t="s">
        <v>32</v>
      </c>
      <c r="B23" s="19" t="s">
        <v>33</v>
      </c>
      <c r="C23" s="20" t="s">
        <v>22</v>
      </c>
      <c r="D23" s="21">
        <v>93</v>
      </c>
      <c r="E23" s="22"/>
      <c r="F23" s="22"/>
      <c r="G23" s="23"/>
      <c r="H23" s="28" t="s">
        <v>34</v>
      </c>
    </row>
    <row r="24" s="1" customFormat="1" ht="28.5" spans="1:8">
      <c r="A24" s="29"/>
      <c r="B24" s="25"/>
      <c r="C24" s="20" t="s">
        <v>10</v>
      </c>
      <c r="D24" s="21" t="s">
        <v>35</v>
      </c>
      <c r="E24" s="22"/>
      <c r="F24" s="22"/>
      <c r="G24" s="23" t="s">
        <v>36</v>
      </c>
    </row>
    <row r="25" s="1" customFormat="1" spans="1:8">
      <c r="A25" s="7" t="s">
        <v>37</v>
      </c>
      <c r="B25" s="30" t="s">
        <v>38</v>
      </c>
      <c r="C25" s="30"/>
      <c r="D25" s="21">
        <v>53</v>
      </c>
      <c r="E25" s="22"/>
      <c r="F25" s="22"/>
    </row>
    <row r="26" s="1" customFormat="1" spans="1:8">
      <c r="A26" s="7"/>
      <c r="B26" s="30" t="s">
        <v>39</v>
      </c>
      <c r="C26" s="30"/>
      <c r="D26" s="21">
        <v>474</v>
      </c>
      <c r="E26" s="22"/>
      <c r="F26" s="22"/>
    </row>
    <row r="27" spans="1:8">
      <c r="A27" s="7"/>
      <c r="B27" s="31" t="s">
        <v>40</v>
      </c>
      <c r="C27" s="31"/>
      <c r="D27" s="10">
        <v>500</v>
      </c>
      <c r="E27" s="7">
        <v>0.1</v>
      </c>
      <c r="F27" s="7">
        <f>D27*E27</f>
        <v>50</v>
      </c>
    </row>
    <row r="28" spans="1:8">
      <c r="A28" s="7"/>
      <c r="B28" s="31" t="s">
        <v>41</v>
      </c>
      <c r="C28" s="31"/>
      <c r="D28" s="10">
        <v>80</v>
      </c>
      <c r="E28" s="7">
        <v>0.1</v>
      </c>
      <c r="F28" s="7">
        <f>D28*E28</f>
        <v>8</v>
      </c>
    </row>
    <row r="29" spans="1:8">
      <c r="A29" s="7"/>
      <c r="B29" s="31" t="s">
        <v>42</v>
      </c>
      <c r="C29" s="31"/>
      <c r="D29" s="10">
        <v>5158</v>
      </c>
      <c r="E29" s="7">
        <v>0.01</v>
      </c>
      <c r="F29" s="7">
        <v>50</v>
      </c>
    </row>
    <row r="30" spans="1:8">
      <c r="B30" s="3" t="s">
        <v>43</v>
      </c>
      <c r="C30" s="3"/>
      <c r="E30" s="32" t="s">
        <v>44</v>
      </c>
      <c r="F30" s="32">
        <v>2204</v>
      </c>
    </row>
    <row r="31" spans="1:8">
      <c r="E31" s="32" t="s">
        <v>45</v>
      </c>
      <c r="F31" s="33">
        <v>100</v>
      </c>
    </row>
  </sheetData>
  <mergeCells count="15">
    <mergeCell ref="B25:C25"/>
    <mergeCell ref="B26:C26"/>
    <mergeCell ref="B27:C27"/>
    <mergeCell ref="B28:C28"/>
    <mergeCell ref="B29:C29"/>
    <mergeCell ref="B30:D30"/>
    <mergeCell ref="A2:A15"/>
    <mergeCell ref="A16:A22"/>
    <mergeCell ref="A23:A24"/>
    <mergeCell ref="A25:A29"/>
    <mergeCell ref="B2:B9"/>
    <mergeCell ref="B10:B15"/>
    <mergeCell ref="B16:B19"/>
    <mergeCell ref="B20:B22"/>
    <mergeCell ref="B23:B24"/>
  </mergeCell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定制化工作内容及范围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霍亮~上海</cp:lastModifiedBy>
  <dcterms:created xsi:type="dcterms:W3CDTF">2023-07-18T23:10:00Z</dcterms:created>
  <dcterms:modified xsi:type="dcterms:W3CDTF">2026-02-06T10:41:47Z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BCBEC23E6EA24490B3E21F774DAFD7CA_13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